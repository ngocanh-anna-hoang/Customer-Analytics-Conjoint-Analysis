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oc Anh Hoang\Downloads\"/>
    </mc:Choice>
  </mc:AlternateContent>
  <xr:revisionPtr revIDLastSave="0" documentId="13_ncr:1_{8F5FB5EE-0604-49C8-ACFC-867CF9CF56DE}" xr6:coauthVersionLast="47" xr6:coauthVersionMax="47" xr10:uidLastSave="{00000000-0000-0000-0000-000000000000}"/>
  <bookViews>
    <workbookView xWindow="10718" yWindow="0" windowWidth="10965" windowHeight="13763" tabRatio="500" firstSheet="1" activeTab="1" xr2:uid="{00000000-000D-0000-FFFF-FFFF00000000}"/>
  </bookViews>
  <sheets>
    <sheet name="Data and Analysis" sheetId="6" r:id="rId1"/>
    <sheet name="Key Results Summary" sheetId="1" r:id="rId2"/>
    <sheet name="Respondent 1-5 regression" sheetId="2" r:id="rId3"/>
    <sheet name="Respondent 6-10 regression" sheetId="3" r:id="rId4"/>
    <sheet name="Respondent 11-15 regression" sheetId="4" r:id="rId5"/>
    <sheet name="Respondent 16-20 regression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9" i="6" l="1"/>
  <c r="B64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F113" i="6"/>
  <c r="C113" i="6"/>
  <c r="D113" i="6"/>
  <c r="E113" i="6"/>
  <c r="B116" i="6"/>
  <c r="B115" i="6"/>
  <c r="B114" i="6"/>
  <c r="B90" i="6"/>
  <c r="B122" i="6" a="1"/>
  <c r="B122" i="6" s="1"/>
  <c r="B113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C91" i="6"/>
  <c r="D91" i="6"/>
  <c r="C90" i="6"/>
  <c r="D90" i="6"/>
  <c r="B98" i="6"/>
  <c r="B97" i="6"/>
  <c r="B96" i="6"/>
  <c r="B95" i="6"/>
  <c r="B94" i="6"/>
  <c r="B93" i="6"/>
  <c r="B92" i="6"/>
  <c r="B91" i="6"/>
  <c r="H22" i="6" a="1"/>
  <c r="H22" i="6"/>
  <c r="H21" i="6" a="1"/>
  <c r="H21" i="6" s="1"/>
  <c r="H20" i="6" a="1"/>
  <c r="H20" i="6" s="1"/>
  <c r="H19" i="6" a="1"/>
  <c r="H19" i="6" s="1"/>
  <c r="H18" i="6" a="1"/>
  <c r="H18" i="6" s="1"/>
  <c r="H17" i="6" a="1"/>
  <c r="H17" i="6" s="1"/>
  <c r="H16" i="6" a="1"/>
  <c r="H16" i="6"/>
  <c r="H15" i="6" a="1"/>
  <c r="H15" i="6" s="1"/>
  <c r="H14" i="6" a="1"/>
  <c r="H14" i="6" s="1"/>
  <c r="G22" i="6" a="1"/>
  <c r="G22" i="6" s="1"/>
  <c r="G21" i="6" a="1"/>
  <c r="G21" i="6" s="1"/>
  <c r="G20" i="6" a="1"/>
  <c r="G20" i="6"/>
  <c r="G19" i="6" a="1"/>
  <c r="G19" i="6" s="1"/>
  <c r="G18" i="6" a="1"/>
  <c r="G18" i="6" s="1"/>
  <c r="G17" i="6" a="1"/>
  <c r="G17" i="6"/>
  <c r="G16" i="6" a="1"/>
  <c r="G16" i="6" s="1"/>
  <c r="G15" i="6" a="1"/>
  <c r="G15" i="6" s="1"/>
  <c r="G14" i="6" a="1"/>
  <c r="G14" i="6" s="1"/>
  <c r="F22" i="6" a="1"/>
  <c r="F22" i="6" s="1"/>
  <c r="F21" i="6" a="1"/>
  <c r="F21" i="6" s="1"/>
  <c r="F20" i="6" a="1"/>
  <c r="F20" i="6" s="1"/>
  <c r="F19" i="6" a="1"/>
  <c r="F19" i="6" s="1"/>
  <c r="F18" i="6" a="1"/>
  <c r="F18" i="6" s="1"/>
  <c r="F17" i="6" a="1"/>
  <c r="F17" i="6"/>
  <c r="F16" i="6" a="1"/>
  <c r="F16" i="6" s="1"/>
  <c r="F15" i="6" a="1"/>
  <c r="F15" i="6"/>
  <c r="F14" i="6" a="1"/>
  <c r="F14" i="6" s="1"/>
  <c r="E22" i="6" a="1"/>
  <c r="E22" i="6" s="1"/>
  <c r="E21" i="6" a="1"/>
  <c r="E21" i="6" s="1"/>
  <c r="E20" i="6" a="1"/>
  <c r="E20" i="6" s="1"/>
  <c r="E19" i="6" a="1"/>
  <c r="E19" i="6" s="1"/>
  <c r="E18" i="6" a="1"/>
  <c r="E18" i="6" s="1"/>
  <c r="E17" i="6" a="1"/>
  <c r="E17" i="6" s="1"/>
  <c r="E16" i="6" a="1"/>
  <c r="E16" i="6" s="1"/>
  <c r="E15" i="6" a="1"/>
  <c r="E15" i="6" s="1"/>
  <c r="E14" i="6" a="1"/>
  <c r="E14" i="6"/>
  <c r="D22" i="6" a="1"/>
  <c r="D22" i="6" s="1"/>
  <c r="D21" i="6" a="1"/>
  <c r="D21" i="6" s="1"/>
  <c r="D20" i="6" a="1"/>
  <c r="D20" i="6" s="1"/>
  <c r="D19" i="6" a="1"/>
  <c r="D19" i="6" s="1"/>
  <c r="D17" i="6" a="1"/>
  <c r="D17" i="6" s="1"/>
  <c r="D16" i="6" a="1"/>
  <c r="D16" i="6" s="1"/>
  <c r="D15" i="6" a="1"/>
  <c r="D15" i="6" s="1"/>
  <c r="D14" i="6" a="1"/>
  <c r="D14" i="6"/>
  <c r="C22" i="6" a="1"/>
  <c r="C22" i="6"/>
  <c r="C21" i="6" a="1"/>
  <c r="C21" i="6" s="1"/>
  <c r="C20" i="6" a="1"/>
  <c r="C20" i="6" s="1"/>
  <c r="C19" i="6" a="1"/>
  <c r="C19" i="6" s="1"/>
  <c r="C18" i="6" a="1"/>
  <c r="C18" i="6"/>
  <c r="C17" i="6" a="1"/>
  <c r="C17" i="6" s="1"/>
  <c r="C16" i="6" a="1"/>
  <c r="C16" i="6" s="1"/>
  <c r="C15" i="6" a="1"/>
  <c r="C15" i="6"/>
  <c r="C14" i="6" a="1"/>
  <c r="C14" i="6" s="1"/>
  <c r="B22" i="6" a="1"/>
  <c r="B22" i="6"/>
  <c r="B21" i="6" a="1"/>
  <c r="B21" i="6" s="1"/>
  <c r="B20" i="6" a="1"/>
  <c r="B20" i="6" s="1"/>
  <c r="B19" i="6" a="1"/>
  <c r="B19" i="6" s="1"/>
  <c r="B18" i="6" a="1"/>
  <c r="B18" i="6" s="1"/>
  <c r="B17" i="6" a="1"/>
  <c r="B17" i="6" s="1"/>
  <c r="B16" i="6" a="1"/>
  <c r="B16" i="6" s="1"/>
  <c r="B15" i="6" a="1"/>
  <c r="B15" i="6" s="1"/>
  <c r="B14" i="6" a="1"/>
  <c r="B14" i="6" s="1"/>
  <c r="D18" i="6" a="1"/>
  <c r="D18" i="6" s="1"/>
  <c r="C155" i="6"/>
  <c r="C156" i="6" s="1"/>
  <c r="D84" i="6"/>
  <c r="C84" i="6"/>
  <c r="B84" i="6"/>
  <c r="N67" i="6"/>
  <c r="C67" i="6"/>
  <c r="F65" i="6"/>
  <c r="R57" i="6"/>
  <c r="G57" i="6"/>
  <c r="F57" i="6"/>
  <c r="R56" i="6"/>
  <c r="R66" i="6" s="1"/>
  <c r="Q56" i="6"/>
  <c r="Q64" i="6" s="1"/>
  <c r="R55" i="6"/>
  <c r="Q55" i="6"/>
  <c r="P55" i="6"/>
  <c r="H55" i="6"/>
  <c r="H54" i="6"/>
  <c r="G54" i="6"/>
  <c r="F54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U47" i="6"/>
  <c r="U57" i="6" s="1"/>
  <c r="T47" i="6"/>
  <c r="T57" i="6" s="1"/>
  <c r="S47" i="6"/>
  <c r="S57" i="6" s="1"/>
  <c r="R47" i="6"/>
  <c r="Q47" i="6"/>
  <c r="Q57" i="6" s="1"/>
  <c r="P47" i="6"/>
  <c r="P57" i="6" s="1"/>
  <c r="O47" i="6"/>
  <c r="O57" i="6" s="1"/>
  <c r="N47" i="6"/>
  <c r="N57" i="6" s="1"/>
  <c r="M47" i="6"/>
  <c r="M57" i="6" s="1"/>
  <c r="L47" i="6"/>
  <c r="L57" i="6" s="1"/>
  <c r="K47" i="6"/>
  <c r="K57" i="6" s="1"/>
  <c r="J47" i="6"/>
  <c r="J57" i="6" s="1"/>
  <c r="I47" i="6"/>
  <c r="I57" i="6" s="1"/>
  <c r="H47" i="6"/>
  <c r="H57" i="6" s="1"/>
  <c r="G47" i="6"/>
  <c r="F47" i="6"/>
  <c r="E47" i="6"/>
  <c r="E57" i="6" s="1"/>
  <c r="D47" i="6"/>
  <c r="D57" i="6" s="1"/>
  <c r="C47" i="6"/>
  <c r="C57" i="6" s="1"/>
  <c r="B47" i="6"/>
  <c r="B57" i="6" s="1"/>
  <c r="U46" i="6"/>
  <c r="U56" i="6" s="1"/>
  <c r="T46" i="6"/>
  <c r="T56" i="6" s="1"/>
  <c r="S46" i="6"/>
  <c r="S56" i="6" s="1"/>
  <c r="R46" i="6"/>
  <c r="Q46" i="6"/>
  <c r="P46" i="6"/>
  <c r="P56" i="6" s="1"/>
  <c r="O46" i="6"/>
  <c r="O56" i="6" s="1"/>
  <c r="N46" i="6"/>
  <c r="N56" i="6" s="1"/>
  <c r="M46" i="6"/>
  <c r="M56" i="6" s="1"/>
  <c r="L46" i="6"/>
  <c r="L56" i="6" s="1"/>
  <c r="K46" i="6"/>
  <c r="K56" i="6" s="1"/>
  <c r="J46" i="6"/>
  <c r="J56" i="6" s="1"/>
  <c r="I46" i="6"/>
  <c r="I56" i="6" s="1"/>
  <c r="H46" i="6"/>
  <c r="H56" i="6" s="1"/>
  <c r="G46" i="6"/>
  <c r="G56" i="6" s="1"/>
  <c r="F46" i="6"/>
  <c r="F56" i="6" s="1"/>
  <c r="E46" i="6"/>
  <c r="E56" i="6" s="1"/>
  <c r="D46" i="6"/>
  <c r="D56" i="6" s="1"/>
  <c r="C46" i="6"/>
  <c r="C56" i="6" s="1"/>
  <c r="B46" i="6"/>
  <c r="B56" i="6" s="1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U44" i="6"/>
  <c r="U55" i="6" s="1"/>
  <c r="T44" i="6"/>
  <c r="T55" i="6" s="1"/>
  <c r="T65" i="6" s="1"/>
  <c r="S44" i="6"/>
  <c r="S55" i="6" s="1"/>
  <c r="S65" i="6" s="1"/>
  <c r="R44" i="6"/>
  <c r="Q44" i="6"/>
  <c r="P44" i="6"/>
  <c r="O44" i="6"/>
  <c r="O55" i="6" s="1"/>
  <c r="N44" i="6"/>
  <c r="N55" i="6" s="1"/>
  <c r="M44" i="6"/>
  <c r="M55" i="6" s="1"/>
  <c r="L44" i="6"/>
  <c r="L55" i="6" s="1"/>
  <c r="K44" i="6"/>
  <c r="K55" i="6" s="1"/>
  <c r="J44" i="6"/>
  <c r="J55" i="6" s="1"/>
  <c r="I44" i="6"/>
  <c r="I55" i="6" s="1"/>
  <c r="I64" i="6" s="1"/>
  <c r="H44" i="6"/>
  <c r="G44" i="6"/>
  <c r="G55" i="6" s="1"/>
  <c r="F44" i="6"/>
  <c r="F55" i="6" s="1"/>
  <c r="E44" i="6"/>
  <c r="E55" i="6" s="1"/>
  <c r="E65" i="6" s="1"/>
  <c r="D44" i="6"/>
  <c r="D55" i="6" s="1"/>
  <c r="C44" i="6"/>
  <c r="C55" i="6" s="1"/>
  <c r="B44" i="6"/>
  <c r="B55" i="6" s="1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U42" i="6"/>
  <c r="U54" i="6" s="1"/>
  <c r="T42" i="6"/>
  <c r="T54" i="6" s="1"/>
  <c r="T64" i="6" s="1"/>
  <c r="S42" i="6"/>
  <c r="S54" i="6" s="1"/>
  <c r="S64" i="6" s="1"/>
  <c r="R42" i="6"/>
  <c r="R54" i="6" s="1"/>
  <c r="Q42" i="6"/>
  <c r="Q54" i="6" s="1"/>
  <c r="P42" i="6"/>
  <c r="O42" i="6"/>
  <c r="O54" i="6" s="1"/>
  <c r="O64" i="6" s="1"/>
  <c r="N42" i="6"/>
  <c r="N54" i="6" s="1"/>
  <c r="N64" i="6" s="1"/>
  <c r="M42" i="6"/>
  <c r="M54" i="6" s="1"/>
  <c r="M64" i="6" s="1"/>
  <c r="L42" i="6"/>
  <c r="L54" i="6" s="1"/>
  <c r="K42" i="6"/>
  <c r="K54" i="6" s="1"/>
  <c r="J42" i="6"/>
  <c r="J54" i="6" s="1"/>
  <c r="I42" i="6"/>
  <c r="I54" i="6" s="1"/>
  <c r="H42" i="6"/>
  <c r="G42" i="6"/>
  <c r="F42" i="6"/>
  <c r="E42" i="6"/>
  <c r="E54" i="6" s="1"/>
  <c r="E64" i="6" s="1"/>
  <c r="D42" i="6"/>
  <c r="D54" i="6" s="1"/>
  <c r="D64" i="6" s="1"/>
  <c r="C42" i="6"/>
  <c r="C54" i="6" s="1"/>
  <c r="C64" i="6" s="1"/>
  <c r="B42" i="6"/>
  <c r="B62" i="1"/>
  <c r="B61" i="1"/>
  <c r="D17" i="1"/>
  <c r="C17" i="1"/>
  <c r="B17" i="1"/>
  <c r="J67" i="6" l="1"/>
  <c r="U64" i="6"/>
  <c r="V91" i="6"/>
  <c r="B23" i="1" s="1"/>
  <c r="V90" i="6"/>
  <c r="B22" i="1" s="1"/>
  <c r="B54" i="6"/>
  <c r="L64" i="6"/>
  <c r="D79" i="6" s="1"/>
  <c r="D13" i="1" s="1"/>
  <c r="M67" i="6"/>
  <c r="F67" i="6"/>
  <c r="D66" i="6"/>
  <c r="N66" i="6"/>
  <c r="D67" i="6"/>
  <c r="O65" i="6"/>
  <c r="E66" i="6"/>
  <c r="O66" i="6"/>
  <c r="E67" i="6"/>
  <c r="O67" i="6"/>
  <c r="R65" i="6"/>
  <c r="P54" i="6"/>
  <c r="P64" i="6" s="1"/>
  <c r="K64" i="6"/>
  <c r="G66" i="6"/>
  <c r="H65" i="6"/>
  <c r="I65" i="6"/>
  <c r="G67" i="6"/>
  <c r="D130" i="6"/>
  <c r="N129" i="6"/>
  <c r="D129" i="6"/>
  <c r="N128" i="6"/>
  <c r="O128" i="6"/>
  <c r="N127" i="6"/>
  <c r="N124" i="6"/>
  <c r="F124" i="6"/>
  <c r="N123" i="6"/>
  <c r="E123" i="6"/>
  <c r="N122" i="6"/>
  <c r="N126" i="6"/>
  <c r="D126" i="6"/>
  <c r="K65" i="6"/>
  <c r="U67" i="6"/>
  <c r="H64" i="6"/>
  <c r="Q66" i="6"/>
  <c r="L66" i="6"/>
  <c r="F64" i="6"/>
  <c r="C79" i="6" s="1"/>
  <c r="C65" i="6"/>
  <c r="M65" i="6"/>
  <c r="C66" i="6"/>
  <c r="M66" i="6"/>
  <c r="G64" i="6"/>
  <c r="L65" i="6"/>
  <c r="D80" i="6" s="1"/>
  <c r="D14" i="1" s="1"/>
  <c r="U66" i="6"/>
  <c r="F122" i="6"/>
  <c r="P65" i="6"/>
  <c r="K66" i="6"/>
  <c r="Q65" i="6"/>
  <c r="U65" i="6"/>
  <c r="H67" i="6"/>
  <c r="B66" i="6"/>
  <c r="B81" i="6" s="1"/>
  <c r="O129" i="6"/>
  <c r="Q129" i="6"/>
  <c r="P129" i="6"/>
  <c r="G129" i="6"/>
  <c r="F129" i="6"/>
  <c r="P130" i="6"/>
  <c r="O130" i="6"/>
  <c r="G130" i="6"/>
  <c r="F130" i="6"/>
  <c r="S130" i="6"/>
  <c r="S127" i="6"/>
  <c r="S66" i="6"/>
  <c r="I67" i="6"/>
  <c r="S67" i="6"/>
  <c r="P67" i="6"/>
  <c r="F66" i="6"/>
  <c r="Q67" i="6"/>
  <c r="R64" i="6"/>
  <c r="K67" i="6"/>
  <c r="Q122" i="6"/>
  <c r="P122" i="6"/>
  <c r="O122" i="6"/>
  <c r="G122" i="6"/>
  <c r="P123" i="6"/>
  <c r="O123" i="6"/>
  <c r="G123" i="6"/>
  <c r="F123" i="6"/>
  <c r="Q126" i="6"/>
  <c r="P126" i="6"/>
  <c r="O126" i="6"/>
  <c r="G126" i="6"/>
  <c r="F126" i="6"/>
  <c r="I66" i="6"/>
  <c r="D125" i="6"/>
  <c r="Q125" i="6"/>
  <c r="P125" i="6"/>
  <c r="O125" i="6"/>
  <c r="G125" i="6"/>
  <c r="F125" i="6"/>
  <c r="J126" i="6"/>
  <c r="T129" i="6"/>
  <c r="J64" i="6"/>
  <c r="J65" i="6"/>
  <c r="J66" i="6"/>
  <c r="T66" i="6"/>
  <c r="T67" i="6"/>
  <c r="H66" i="6"/>
  <c r="R67" i="6"/>
  <c r="N125" i="6"/>
  <c r="N130" i="6"/>
  <c r="F127" i="6"/>
  <c r="F128" i="6"/>
  <c r="K130" i="6"/>
  <c r="K128" i="6"/>
  <c r="U130" i="6"/>
  <c r="G65" i="6"/>
  <c r="G124" i="6"/>
  <c r="G127" i="6"/>
  <c r="G128" i="6"/>
  <c r="V97" i="6"/>
  <c r="B29" i="1" s="1"/>
  <c r="V92" i="6"/>
  <c r="B24" i="1" s="1"/>
  <c r="L130" i="6"/>
  <c r="L129" i="6"/>
  <c r="L67" i="6"/>
  <c r="D65" i="6"/>
  <c r="O124" i="6"/>
  <c r="O127" i="6"/>
  <c r="P124" i="6"/>
  <c r="Q123" i="6"/>
  <c r="Q124" i="6"/>
  <c r="R123" i="6"/>
  <c r="R124" i="6"/>
  <c r="N65" i="6"/>
  <c r="B67" i="6"/>
  <c r="P127" i="6"/>
  <c r="P128" i="6"/>
  <c r="Q127" i="6"/>
  <c r="Q128" i="6"/>
  <c r="Q130" i="6"/>
  <c r="C123" i="6"/>
  <c r="M123" i="6"/>
  <c r="C128" i="6"/>
  <c r="M128" i="6"/>
  <c r="B127" i="6" l="1"/>
  <c r="V95" i="6"/>
  <c r="B27" i="1" s="1"/>
  <c r="U123" i="6"/>
  <c r="B126" i="6"/>
  <c r="V94" i="6"/>
  <c r="B26" i="1" s="1"/>
  <c r="U129" i="6"/>
  <c r="E130" i="6"/>
  <c r="S126" i="6"/>
  <c r="E127" i="6"/>
  <c r="D123" i="6"/>
  <c r="C49" i="1" s="1"/>
  <c r="E128" i="6"/>
  <c r="P66" i="6"/>
  <c r="E129" i="6"/>
  <c r="B128" i="6"/>
  <c r="V96" i="6"/>
  <c r="B28" i="1" s="1"/>
  <c r="D82" i="6"/>
  <c r="D16" i="1" s="1"/>
  <c r="B130" i="6"/>
  <c r="V98" i="6"/>
  <c r="B30" i="1" s="1"/>
  <c r="C82" i="6"/>
  <c r="C16" i="1" s="1"/>
  <c r="E124" i="6"/>
  <c r="E125" i="6"/>
  <c r="B13" i="1"/>
  <c r="L123" i="6"/>
  <c r="D122" i="6"/>
  <c r="B65" i="6"/>
  <c r="V65" i="6" s="1"/>
  <c r="B6" i="1" s="1"/>
  <c r="E126" i="6"/>
  <c r="D127" i="6"/>
  <c r="C80" i="6"/>
  <c r="E122" i="6"/>
  <c r="D128" i="6"/>
  <c r="C54" i="1" s="1"/>
  <c r="B125" i="6" a="1"/>
  <c r="B125" i="6" s="1"/>
  <c r="V93" i="6"/>
  <c r="B25" i="1" s="1"/>
  <c r="D124" i="6"/>
  <c r="K126" i="6"/>
  <c r="J124" i="6"/>
  <c r="I123" i="6"/>
  <c r="V64" i="6"/>
  <c r="B5" i="1" s="1"/>
  <c r="H123" i="6"/>
  <c r="K127" i="6"/>
  <c r="J125" i="6"/>
  <c r="M122" i="6"/>
  <c r="R122" i="6"/>
  <c r="T122" i="6"/>
  <c r="J127" i="6"/>
  <c r="S128" i="6"/>
  <c r="I125" i="6"/>
  <c r="D81" i="6"/>
  <c r="D15" i="1" s="1"/>
  <c r="C127" i="6"/>
  <c r="C122" i="6"/>
  <c r="H130" i="6"/>
  <c r="L122" i="6"/>
  <c r="D48" i="1" s="1"/>
  <c r="B129" i="6"/>
  <c r="U122" i="6"/>
  <c r="K129" i="6"/>
  <c r="T123" i="6"/>
  <c r="J123" i="6"/>
  <c r="J129" i="6"/>
  <c r="S129" i="6"/>
  <c r="I126" i="6"/>
  <c r="C13" i="1"/>
  <c r="I124" i="6"/>
  <c r="V66" i="6"/>
  <c r="B7" i="1" s="1"/>
  <c r="B15" i="1"/>
  <c r="M127" i="6"/>
  <c r="T124" i="6"/>
  <c r="C126" i="6"/>
  <c r="C52" i="1" s="1"/>
  <c r="L124" i="6"/>
  <c r="T125" i="6"/>
  <c r="M130" i="6"/>
  <c r="D56" i="1" s="1"/>
  <c r="H127" i="6"/>
  <c r="C125" i="6"/>
  <c r="C51" i="1" s="1"/>
  <c r="L126" i="6"/>
  <c r="D52" i="1" s="1"/>
  <c r="U126" i="6"/>
  <c r="T127" i="6"/>
  <c r="S123" i="6"/>
  <c r="C81" i="6"/>
  <c r="C15" i="1" s="1"/>
  <c r="H122" i="6"/>
  <c r="M126" i="6"/>
  <c r="H129" i="6"/>
  <c r="I127" i="6"/>
  <c r="R129" i="6"/>
  <c r="B80" i="6"/>
  <c r="B14" i="1" s="1"/>
  <c r="U124" i="6"/>
  <c r="I128" i="6"/>
  <c r="M125" i="6"/>
  <c r="R128" i="6"/>
  <c r="L125" i="6"/>
  <c r="K122" i="6"/>
  <c r="J130" i="6"/>
  <c r="I129" i="6"/>
  <c r="H126" i="6"/>
  <c r="B123" i="6"/>
  <c r="K123" i="6"/>
  <c r="I130" i="6"/>
  <c r="M129" i="6"/>
  <c r="D55" i="1" s="1"/>
  <c r="M124" i="6"/>
  <c r="R126" i="6"/>
  <c r="H125" i="6"/>
  <c r="L127" i="6"/>
  <c r="D53" i="1" s="1"/>
  <c r="B124" i="6"/>
  <c r="U127" i="6"/>
  <c r="K124" i="6"/>
  <c r="T128" i="6"/>
  <c r="S124" i="6"/>
  <c r="R130" i="6"/>
  <c r="H128" i="6"/>
  <c r="J128" i="6"/>
  <c r="U125" i="6"/>
  <c r="T126" i="6"/>
  <c r="S122" i="6"/>
  <c r="C130" i="6"/>
  <c r="R127" i="6"/>
  <c r="C129" i="6"/>
  <c r="C124" i="6"/>
  <c r="B82" i="6"/>
  <c r="B16" i="1" s="1"/>
  <c r="V67" i="6"/>
  <c r="B8" i="1" s="1"/>
  <c r="R125" i="6"/>
  <c r="H124" i="6"/>
  <c r="L128" i="6"/>
  <c r="D54" i="1" s="1"/>
  <c r="U128" i="6"/>
  <c r="K125" i="6"/>
  <c r="T130" i="6"/>
  <c r="J122" i="6"/>
  <c r="S125" i="6"/>
  <c r="I122" i="6"/>
  <c r="C14" i="1"/>
  <c r="C50" i="1" l="1"/>
  <c r="C55" i="1"/>
  <c r="D49" i="1"/>
  <c r="C48" i="1"/>
  <c r="C53" i="1"/>
  <c r="C56" i="1"/>
  <c r="D51" i="1"/>
  <c r="D50" i="1"/>
  <c r="V123" i="6"/>
  <c r="B36" i="1" s="1"/>
  <c r="B49" i="1"/>
  <c r="V130" i="6"/>
  <c r="B43" i="1" s="1"/>
  <c r="B56" i="1"/>
  <c r="V128" i="6"/>
  <c r="B41" i="1" s="1"/>
  <c r="B54" i="1"/>
  <c r="B52" i="1"/>
  <c r="V126" i="6"/>
  <c r="B39" i="1" s="1"/>
  <c r="B50" i="1"/>
  <c r="V124" i="6"/>
  <c r="B37" i="1" s="1"/>
  <c r="V129" i="6"/>
  <c r="B42" i="1" s="1"/>
  <c r="B55" i="1"/>
  <c r="V122" i="6"/>
  <c r="B35" i="1" s="1"/>
  <c r="B48" i="1"/>
  <c r="B51" i="1"/>
  <c r="V125" i="6"/>
  <c r="B38" i="1" s="1"/>
  <c r="B53" i="1"/>
  <c r="V127" i="6"/>
  <c r="B40" i="1" s="1"/>
  <c r="D83" i="6"/>
  <c r="B83" i="6"/>
  <c r="C8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<sst xmlns="http://schemas.openxmlformats.org/spreadsheetml/2006/main" count="1146" uniqueCount="146">
  <si>
    <t>KEY RESULTS SUMMARY — Homer &amp; Co. Conjoint Analysis</t>
  </si>
  <si>
    <t>Attribute</t>
  </si>
  <si>
    <t>Importance (%)</t>
  </si>
  <si>
    <t>Unit / Basis</t>
  </si>
  <si>
    <t>Speed of Installation</t>
  </si>
  <si>
    <t>Life Expectancy</t>
  </si>
  <si>
    <t>Price</t>
  </si>
  <si>
    <t>Shingle Aesthetics</t>
  </si>
  <si>
    <t>Segment 1</t>
  </si>
  <si>
    <t>Segment 2</t>
  </si>
  <si>
    <t>Segment 3</t>
  </si>
  <si>
    <t>Number of Customers (n)</t>
  </si>
  <si>
    <t>Metric</t>
  </si>
  <si>
    <t>Value</t>
  </si>
  <si>
    <t>Unmatched predictions</t>
  </si>
  <si>
    <t>count, out of 20 respondents</t>
  </si>
  <si>
    <t>Model Accuracy</t>
  </si>
  <si>
    <t>% of respondents correctly predicted</t>
  </si>
  <si>
    <t>RESPONDENT 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</si>
  <si>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</si>
  <si>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</si>
  <si>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</si>
  <si>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</si>
  <si>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</si>
  <si>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</si>
  <si>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</si>
  <si>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</si>
  <si>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</si>
  <si>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</si>
  <si>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</si>
  <si>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</si>
  <si>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</si>
  <si>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</si>
  <si>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</si>
  <si>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</si>
  <si>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</si>
  <si>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</si>
  <si>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</si>
  <si>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</si>
  <si>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</si>
  <si>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</si>
  <si>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Resist_Med</t>
  </si>
  <si>
    <t>Resist_High</t>
  </si>
  <si>
    <t>Speed_1.2</t>
  </si>
  <si>
    <t>Speed_1.5</t>
  </si>
  <si>
    <t>Shingle_Minimal</t>
  </si>
  <si>
    <t>Price_9</t>
  </si>
  <si>
    <t>Price_10</t>
  </si>
  <si>
    <t>RESPONDENT 2</t>
  </si>
  <si>
    <t>Lower 95.0%</t>
  </si>
  <si>
    <t>Upper 95.0%</t>
  </si>
  <si>
    <t>RESPONDENT 3</t>
  </si>
  <si>
    <t>RESPONDENT 4</t>
  </si>
  <si>
    <t>RESPONDENT 5</t>
  </si>
  <si>
    <t>RESPONDENT 6</t>
  </si>
  <si>
    <t>RESPONDENT 7</t>
  </si>
  <si>
    <t>RESPONDENT 8</t>
  </si>
  <si>
    <t>RESPONDENT 9</t>
  </si>
  <si>
    <t>RESPONDENT 10</t>
  </si>
  <si>
    <t>N/A</t>
  </si>
  <si>
    <t>RESPONDENT 11</t>
  </si>
  <si>
    <t>RESPONDENT 12</t>
  </si>
  <si>
    <t>RESPONDENT 13</t>
  </si>
  <si>
    <t>RESPONDENT 14</t>
  </si>
  <si>
    <t>RESPONDENT 15</t>
  </si>
  <si>
    <t>RESPONDENT 16</t>
  </si>
  <si>
    <t>RESPONDENT 17</t>
  </si>
  <si>
    <t>RESPONDENT 18</t>
  </si>
  <si>
    <t>RESPONDENT 19</t>
  </si>
  <si>
    <t>RESPONDENT 20</t>
  </si>
  <si>
    <t>ROOFING SHINGLES DATASET</t>
  </si>
  <si>
    <t>Bundles</t>
  </si>
  <si>
    <t>Attributes / Bundles</t>
  </si>
  <si>
    <t>Bundle 1</t>
  </si>
  <si>
    <t>Bundle 2</t>
  </si>
  <si>
    <t>Bundle 3</t>
  </si>
  <si>
    <t>Bundle 4</t>
  </si>
  <si>
    <t>Bundle 5</t>
  </si>
  <si>
    <t>Bundle 6</t>
  </si>
  <si>
    <t>Bundle 7</t>
  </si>
  <si>
    <t>Bundle 8</t>
  </si>
  <si>
    <t>Bundle 9</t>
  </si>
  <si>
    <t>Low Resistance</t>
  </si>
  <si>
    <t>Medium Resistance</t>
  </si>
  <si>
    <t>High Resistance</t>
  </si>
  <si>
    <t>1 week</t>
  </si>
  <si>
    <t>No Imperfections</t>
  </si>
  <si>
    <t>1.2 weeks</t>
  </si>
  <si>
    <t>1.5 weeks</t>
  </si>
  <si>
    <t>Minimal Imperfections</t>
  </si>
  <si>
    <t>Bundle Coding</t>
  </si>
  <si>
    <t>Bundle</t>
  </si>
  <si>
    <t>Dummy Variable</t>
  </si>
  <si>
    <t>Respondents' Ratings</t>
  </si>
  <si>
    <t>Respondent</t>
  </si>
  <si>
    <t>Respondent 1</t>
  </si>
  <si>
    <t>Respondent 2</t>
  </si>
  <si>
    <t>Respondent 3</t>
  </si>
  <si>
    <t>Respondent 4</t>
  </si>
  <si>
    <t>Respondent 5</t>
  </si>
  <si>
    <t>Respondent 6</t>
  </si>
  <si>
    <t>Respondent 7</t>
  </si>
  <si>
    <t>Respondent 8</t>
  </si>
  <si>
    <t>Respondent 9</t>
  </si>
  <si>
    <t>Respondent 10</t>
  </si>
  <si>
    <t>Respondent 11</t>
  </si>
  <si>
    <t>Respondent 12</t>
  </si>
  <si>
    <t>Respondent 13</t>
  </si>
  <si>
    <t>Respondent 14</t>
  </si>
  <si>
    <t>Respondent 15</t>
  </si>
  <si>
    <t>Respondent 16</t>
  </si>
  <si>
    <t>Respondent 17</t>
  </si>
  <si>
    <t>Respondent 18</t>
  </si>
  <si>
    <t>Respondent 19</t>
  </si>
  <si>
    <t>Respondent 20</t>
  </si>
  <si>
    <t>Part-worth Estimation</t>
  </si>
  <si>
    <t>Variables</t>
  </si>
  <si>
    <t>Range of Part-Worth</t>
  </si>
  <si>
    <t>Attribute Importances (% of total utility range)</t>
  </si>
  <si>
    <t>Average</t>
  </si>
  <si>
    <t>Life Expectancy (%)</t>
  </si>
  <si>
    <t>Speed of Installation (%)</t>
  </si>
  <si>
    <t>Shingle Aesthetics (%)</t>
  </si>
  <si>
    <t>Price (%)</t>
  </si>
  <si>
    <t>Segment</t>
  </si>
  <si>
    <t>Segment: Attribute Importances (average %, by segment)</t>
  </si>
  <si>
    <t>Utilities of Current Choice</t>
  </si>
  <si>
    <t>Competitors: Bundle Coding</t>
  </si>
  <si>
    <t>Competitor</t>
  </si>
  <si>
    <t>Skinner the Great</t>
  </si>
  <si>
    <t>Krusty Unbreakable</t>
  </si>
  <si>
    <t>Moe's the Best</t>
  </si>
  <si>
    <t>Flanders the Neighbour</t>
  </si>
  <si>
    <t>Competitors: Utilities (predicted utility score)</t>
  </si>
  <si>
    <t>Purchase Probability (logit choice share, %)</t>
  </si>
  <si>
    <t>Respondents' Choice vs Model Prediction</t>
  </si>
  <si>
    <t>Bundle Selection</t>
  </si>
  <si>
    <t>Predictions</t>
  </si>
  <si>
    <t>Model Accuracy (%)</t>
  </si>
  <si>
    <t>Attribute Importance by Segment (average %)</t>
  </si>
  <si>
    <t>Logit Model Accuracy vs Respondents' Stated Choice</t>
  </si>
  <si>
    <t>Overall Attribute Importance (average %)</t>
  </si>
  <si>
    <t>Overall Utilities of Current Choice (average)</t>
  </si>
  <si>
    <t>Overall Purchase Probability Compared to the Competitors (average %)</t>
  </si>
  <si>
    <t>Purchase Probability Compared to the Competitors by segment (average %)</t>
  </si>
  <si>
    <t>Number of unmatched predictions (out of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</si>
</sst>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FFFFFF"/>
      <name val="Calibri"/>
      <family val="2"/>
    </font>
    <font>
      <b/>
      <sz val="13"/>
      <color rgb="FFFFFFFF"/>
      <name val="Calibri"/>
      <family val="2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1"/>
      <color rgb="FF808080"/>
      <name val="Calibri"/>
      <family val="2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</font>
    <font>
      <b/>
      <sz val="13"/>
      <color rgb="FFFFFFFF"/>
      <name val="Calibri"/>
      <family val="2"/>
    </font>
    <font>
      <b/>
      <sz val="28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2E5F8A"/>
        <bgColor rgb="FF0066CC"/>
      </patternFill>
    </fill>
    <fill>
      <patternFill patternType="solid">
        <fgColor rgb="FFFFC000"/>
        <bgColor rgb="FFFF9900"/>
      </patternFill>
    </fill>
    <fill>
      <patternFill patternType="solid">
        <fgColor theme="1"/>
        <bgColor rgb="FF0B2545"/>
      </patternFill>
    </fill>
  </fills>
  <borders count="2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theme="0" tint="-0.249977111117893"/>
      </left>
      <right/>
      <top/>
      <bottom style="thin">
        <color rgb="FFB7B7B7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69">
    <xf numFmtId="0" fontId="0" fillId="0" borderId="0" xfId="0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3" borderId="0" xfId="0" applyFont="1" applyFill="1"/>
    <xf numFmtId="0" fontId="0" fillId="3" borderId="0" xfId="0" applyFill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4" fillId="0" borderId="0" xfId="0" applyFont="1"/>
    <xf numFmtId="0" fontId="0" fillId="0" borderId="3" xfId="0" applyBorder="1"/>
    <xf numFmtId="2" fontId="0" fillId="0" borderId="0" xfId="0" applyNumberFormat="1"/>
    <xf numFmtId="2" fontId="0" fillId="0" borderId="3" xfId="0" applyNumberFormat="1" applyBorder="1"/>
    <xf numFmtId="0" fontId="6" fillId="0" borderId="0" xfId="0" applyFont="1"/>
    <xf numFmtId="0" fontId="6" fillId="0" borderId="3" xfId="0" applyFont="1" applyBorder="1"/>
    <xf numFmtId="0" fontId="0" fillId="4" borderId="1" xfId="0" applyFill="1" applyBorder="1"/>
    <xf numFmtId="2" fontId="0" fillId="0" borderId="1" xfId="0" applyNumberFormat="1" applyBorder="1"/>
    <xf numFmtId="10" fontId="0" fillId="0" borderId="1" xfId="0" applyNumberFormat="1" applyBorder="1"/>
    <xf numFmtId="0" fontId="4" fillId="0" borderId="1" xfId="0" applyFont="1" applyBorder="1"/>
    <xf numFmtId="2" fontId="4" fillId="0" borderId="1" xfId="0" applyNumberFormat="1" applyFont="1" applyBorder="1"/>
    <xf numFmtId="0" fontId="4" fillId="0" borderId="4" xfId="0" applyFont="1" applyBorder="1"/>
    <xf numFmtId="0" fontId="7" fillId="0" borderId="4" xfId="0" applyFont="1" applyBorder="1"/>
    <xf numFmtId="0" fontId="8" fillId="0" borderId="1" xfId="0" applyFont="1" applyBorder="1"/>
    <xf numFmtId="9" fontId="4" fillId="0" borderId="1" xfId="0" applyNumberFormat="1" applyFont="1" applyBorder="1"/>
    <xf numFmtId="0" fontId="4" fillId="4" borderId="5" xfId="0" applyFont="1" applyFill="1" applyBorder="1"/>
    <xf numFmtId="0" fontId="0" fillId="0" borderId="5" xfId="0" applyBorder="1"/>
    <xf numFmtId="0" fontId="4" fillId="4" borderId="6" xfId="0" applyFont="1" applyFill="1" applyBorder="1"/>
    <xf numFmtId="0" fontId="0" fillId="0" borderId="8" xfId="0" applyBorder="1"/>
    <xf numFmtId="0" fontId="0" fillId="0" borderId="9" xfId="0" applyBorder="1"/>
    <xf numFmtId="0" fontId="0" fillId="4" borderId="10" xfId="0" applyFill="1" applyBorder="1"/>
    <xf numFmtId="0" fontId="0" fillId="0" borderId="10" xfId="0" applyBorder="1"/>
    <xf numFmtId="0" fontId="0" fillId="0" borderId="11" xfId="0" applyBorder="1"/>
    <xf numFmtId="0" fontId="3" fillId="3" borderId="12" xfId="0" applyFont="1" applyFill="1" applyBorder="1"/>
    <xf numFmtId="0" fontId="0" fillId="3" borderId="12" xfId="0" applyFill="1" applyBorder="1"/>
    <xf numFmtId="0" fontId="0" fillId="0" borderId="4" xfId="0" applyBorder="1"/>
    <xf numFmtId="0" fontId="0" fillId="3" borderId="13" xfId="0" applyFill="1" applyBorder="1"/>
    <xf numFmtId="0" fontId="0" fillId="0" borderId="7" xfId="0" applyBorder="1"/>
    <xf numFmtId="0" fontId="9" fillId="4" borderId="1" xfId="0" applyFont="1" applyFill="1" applyBorder="1" applyAlignment="1">
      <alignment horizontal="center" vertical="center"/>
    </xf>
    <xf numFmtId="0" fontId="10" fillId="3" borderId="0" xfId="0" applyFont="1" applyFill="1"/>
    <xf numFmtId="0" fontId="12" fillId="4" borderId="1" xfId="0" applyFont="1" applyFill="1" applyBorder="1" applyAlignment="1">
      <alignment horizontal="left" vertical="center"/>
    </xf>
    <xf numFmtId="164" fontId="0" fillId="0" borderId="0" xfId="0" applyNumberFormat="1"/>
    <xf numFmtId="0" fontId="0" fillId="3" borderId="16" xfId="0" applyFill="1" applyBorder="1"/>
    <xf numFmtId="0" fontId="4" fillId="4" borderId="17" xfId="0" applyFont="1" applyFill="1" applyBorder="1"/>
    <xf numFmtId="2" fontId="0" fillId="0" borderId="17" xfId="0" applyNumberFormat="1" applyBorder="1"/>
    <xf numFmtId="164" fontId="0" fillId="0" borderId="5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20" xfId="0" applyNumberFormat="1" applyBorder="1"/>
    <xf numFmtId="0" fontId="0" fillId="0" borderId="19" xfId="0" applyBorder="1"/>
    <xf numFmtId="0" fontId="12" fillId="4" borderId="1" xfId="0" applyFont="1" applyFill="1" applyBorder="1"/>
    <xf numFmtId="0" fontId="9" fillId="4" borderId="10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left" vertical="center"/>
    </xf>
    <xf numFmtId="164" fontId="0" fillId="0" borderId="21" xfId="0" applyNumberFormat="1" applyBorder="1"/>
    <xf numFmtId="0" fontId="12" fillId="4" borderId="21" xfId="0" applyFont="1" applyFill="1" applyBorder="1"/>
    <xf numFmtId="164" fontId="1" fillId="0" borderId="1" xfId="1" applyNumberFormat="1" applyBorder="1"/>
    <xf numFmtId="165" fontId="0" fillId="0" borderId="1" xfId="0" applyNumberFormat="1" applyBorder="1"/>
    <xf numFmtId="0" fontId="10" fillId="3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0" borderId="1" xfId="0" applyFont="1" applyBorder="1" applyAlignment="1">
      <alignment horizontal="right"/>
    </xf>
    <xf numFmtId="0" fontId="4" fillId="4" borderId="15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E5F8A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Attribute Importance by Segment</a:t>
            </a:r>
            <a:r>
              <a:rPr lang="en-US" baseline="0"/>
              <a:t>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Results Summary'!$A$13</c:f>
              <c:strCache>
                <c:ptCount val="1"/>
                <c:pt idx="0">
                  <c:v>Life Expectancy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Results Summary'!$B$12:$D$12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'Key Results Summary'!$B$13:$D$13</c:f>
              <c:numCache>
                <c:formatCode>0.0%</c:formatCode>
                <c:ptCount val="3"/>
                <c:pt idx="0">
                  <c:v>0.24835226449619588</c:v>
                </c:pt>
                <c:pt idx="1">
                  <c:v>0.49338757794258981</c:v>
                </c:pt>
                <c:pt idx="2">
                  <c:v>0.33298323198820695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0-4CFD-8E7F-78B294CEA0C1}"/>
            </c:ext>
          </c:extLst>
        </c:ser>
        <c:ser>
          <c:idx val="1"/>
          <c:order val="1"/>
          <c:tx>
            <c:strRef>
              <c:f>'Key Results Summary'!$A$14</c:f>
              <c:strCache>
                <c:ptCount val="1"/>
                <c:pt idx="0">
                  <c:v>Speed of Installation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Results Summary'!$B$12:$D$12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'Key Results Summary'!$B$14:$D$14</c:f>
              <c:numCache>
                <c:formatCode>0.0%</c:formatCode>
                <c:ptCount val="3"/>
                <c:pt idx="0">
                  <c:v>0.50240076513004872</c:v>
                </c:pt>
                <c:pt idx="1">
                  <c:v>0.26076163912798311</c:v>
                </c:pt>
                <c:pt idx="2">
                  <c:v>0.30909473795045933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0-4CFD-8E7F-78B294CEA0C1}"/>
            </c:ext>
          </c:extLst>
        </c:ser>
        <c:ser>
          <c:idx val="2"/>
          <c:order val="2"/>
          <c:tx>
            <c:strRef>
              <c:f>'Key Results Summary'!$A$15</c:f>
              <c:strCache>
                <c:ptCount val="1"/>
                <c:pt idx="0">
                  <c:v>Shingle Aesthetics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Results Summary'!$B$12:$D$12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'Key Results Summary'!$B$15:$D$15</c:f>
              <c:numCache>
                <c:formatCode>0.0%</c:formatCode>
                <c:ptCount val="3"/>
                <c:pt idx="0">
                  <c:v>9.8718222207363815E-2</c:v>
                </c:pt>
                <c:pt idx="1">
                  <c:v>6.1223335403003766E-2</c:v>
                </c:pt>
                <c:pt idx="2">
                  <c:v>0.1365368922582853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F0-4CFD-8E7F-78B294CEA0C1}"/>
            </c:ext>
          </c:extLst>
        </c:ser>
        <c:ser>
          <c:idx val="3"/>
          <c:order val="3"/>
          <c:tx>
            <c:strRef>
              <c:f>'Key Results Summary'!$A$16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Results Summary'!$B$12:$D$12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'Key Results Summary'!$B$16:$D$16</c:f>
              <c:numCache>
                <c:formatCode>0.0%</c:formatCode>
                <c:ptCount val="3"/>
                <c:pt idx="0">
                  <c:v>0.15052874816639161</c:v>
                </c:pt>
                <c:pt idx="1">
                  <c:v>0.18462744752642332</c:v>
                </c:pt>
                <c:pt idx="2">
                  <c:v>0.22138513780304839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8-49A0-A9AA-739091E56B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4868847"/>
        <c:axId val="324873647"/>
      </c:barChart>
      <c:catAx>
        <c:axId val="32486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73647"/>
        <c:crosses val="autoZero"/>
        <c:auto val="1"/>
        <c:lblAlgn val="ctr"/>
        <c:lblOffset val="100"/>
        <c:noMultiLvlLbl val="0"/>
      </c:catAx>
      <c:valAx>
        <c:axId val="32487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6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Overall</a:t>
            </a:r>
            <a:r>
              <a:rPr lang="en-US" sz="11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</a:t>
            </a:r>
            <a:r>
              <a:rPr lang="en-US"/>
              <a:t>Attribute</a:t>
            </a:r>
            <a:r>
              <a:rPr lang="en-US" baseline="0"/>
              <a:t> </a:t>
            </a:r>
            <a:r>
              <a:rPr lang="en-US"/>
              <a:t>Importance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'Key Results Summary'!$B$4</c:f>
              <c:strCache>
                <c:ptCount val="1"/>
                <c:pt idx="0">
                  <c:v>Importance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12-4E7F-B5AA-FB9F1F59FC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12-4E7F-B5AA-FB9F1F59FC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12-4E7F-B5AA-FB9F1F59FC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12-4E7F-B5AA-FB9F1F59FC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'Key Results Summary'!$A$5:$A$8</c:f>
              <c:strCache>
                <c:ptCount val="4"/>
                <c:pt idx="0">
                  <c:v>Life Expectancy</c:v>
                </c:pt>
                <c:pt idx="1">
                  <c:v>Speed of Installation</c:v>
                </c:pt>
                <c:pt idx="2">
                  <c:v>Shingle Aesthetics</c:v>
                </c:pt>
                <c:pt idx="3">
                  <c:v>Price</c:v>
                </c:pt>
              </c:strCache>
            </c:strRef>
          </c:cat>
          <c:val>
            <c:numRef>
              <c:f>'Key Results Summary'!$B$5:$B$8</c:f>
              <c:numCache>
                <c:formatCode>0.0%</c:formatCode>
                <c:ptCount val="4"/>
                <c:pt idx="0">
                  <c:v>0.35906103499855507</c:v>
                </c:pt>
                <c:pt idx="1">
                  <c:v>0.37674921065228406</c:v>
                </c:pt>
                <c:pt idx="2">
                  <c:v>8.9393067993258038E-2</c:v>
                </c:pt>
                <c:pt idx="3">
                  <c:v>0.17479668635590281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1-420B-A54D-8D874888E5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Utilities of Current Choice</a:t>
            </a:r>
          </a:p>
        </c:rich>
      </c:tx>
      <c:layout>
        <c:manualLayout>
          <c:xMode val="edge"/>
          <c:yMode val="edge"/>
          <c:x val="0.2397152230971128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124928846558154E-2"/>
          <c:y val="0.16966910341126235"/>
          <c:w val="0.88405667030988677"/>
          <c:h val="0.78001113014161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 Results Summary'!$B$21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Results Summary'!$A$22:$A$30</c:f>
              <c:strCache>
                <c:ptCount val="9"/>
                <c:pt idx="0">
                  <c:v>Bundle 1</c:v>
                </c:pt>
                <c:pt idx="1">
                  <c:v>Bundle 2</c:v>
                </c:pt>
                <c:pt idx="2">
                  <c:v>Bundle 3</c:v>
                </c:pt>
                <c:pt idx="3">
                  <c:v>Bundle 4</c:v>
                </c:pt>
                <c:pt idx="4">
                  <c:v>Bundle 5</c:v>
                </c:pt>
                <c:pt idx="5">
                  <c:v>Bundle 6</c:v>
                </c:pt>
                <c:pt idx="6">
                  <c:v>Bundle 7</c:v>
                </c:pt>
                <c:pt idx="7">
                  <c:v>Bundle 8</c:v>
                </c:pt>
                <c:pt idx="8">
                  <c:v>Bundle 9</c:v>
                </c:pt>
              </c:strCache>
            </c:strRef>
          </c:cat>
          <c:val>
            <c:numRef>
              <c:f>'Key Results Summary'!$B$22:$B$30</c:f>
              <c:numCache>
                <c:formatCode>0.0</c:formatCode>
                <c:ptCount val="9"/>
                <c:pt idx="0">
                  <c:v>-9.9666666666666703</c:v>
                </c:pt>
                <c:pt idx="1">
                  <c:v>-21.399999999999995</c:v>
                </c:pt>
                <c:pt idx="2">
                  <c:v>-27.18333333333333</c:v>
                </c:pt>
                <c:pt idx="3">
                  <c:v>-27.133333333333336</c:v>
                </c:pt>
                <c:pt idx="4">
                  <c:v>-28.516666666666673</c:v>
                </c:pt>
                <c:pt idx="5">
                  <c:v>-47.500000000000007</c:v>
                </c:pt>
                <c:pt idx="6">
                  <c:v>-21.900000000000002</c:v>
                </c:pt>
                <c:pt idx="7">
                  <c:v>-50.033333333333339</c:v>
                </c:pt>
                <c:pt idx="8">
                  <c:v>-52.316666666666663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1-4502-9C73-41076BEA69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196159"/>
        <c:axId val="474202399"/>
      </c:barChart>
      <c:catAx>
        <c:axId val="47419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02399"/>
        <c:crosses val="autoZero"/>
        <c:auto val="1"/>
        <c:lblAlgn val="ctr"/>
        <c:lblOffset val="100"/>
        <c:noMultiLvlLbl val="0"/>
      </c:catAx>
      <c:valAx>
        <c:axId val="47420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9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Purchase Probability Compared to the Competitors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Results Summary'!$B$34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Results Summary'!$A$35:$A$43</c:f>
              <c:strCache>
                <c:ptCount val="9"/>
                <c:pt idx="0">
                  <c:v>Bundle 1</c:v>
                </c:pt>
                <c:pt idx="1">
                  <c:v>Bundle 2</c:v>
                </c:pt>
                <c:pt idx="2">
                  <c:v>Bundle 3</c:v>
                </c:pt>
                <c:pt idx="3">
                  <c:v>Bundle 4</c:v>
                </c:pt>
                <c:pt idx="4">
                  <c:v>Bundle 5</c:v>
                </c:pt>
                <c:pt idx="5">
                  <c:v>Bundle 6</c:v>
                </c:pt>
                <c:pt idx="6">
                  <c:v>Bundle 7</c:v>
                </c:pt>
                <c:pt idx="7">
                  <c:v>Bundle 8</c:v>
                </c:pt>
                <c:pt idx="8">
                  <c:v>Bundle 9</c:v>
                </c:pt>
              </c:strCache>
            </c:strRef>
          </c:cat>
          <c:val>
            <c:numRef>
              <c:f>'Key Results Summary'!$B$35:$B$43</c:f>
              <c:numCache>
                <c:formatCode>0.0%</c:formatCode>
                <c:ptCount val="9"/>
                <c:pt idx="0">
                  <c:v>0.89130507012548588</c:v>
                </c:pt>
                <c:pt idx="1">
                  <c:v>0.50414376496156388</c:v>
                </c:pt>
                <c:pt idx="2">
                  <c:v>0.23766365708011214</c:v>
                </c:pt>
                <c:pt idx="3">
                  <c:v>0.26092593103035</c:v>
                </c:pt>
                <c:pt idx="4">
                  <c:v>0.27058201952829808</c:v>
                </c:pt>
                <c:pt idx="5">
                  <c:v>1.4703324353503995E-6</c:v>
                </c:pt>
                <c:pt idx="6">
                  <c:v>0.53001387274055423</c:v>
                </c:pt>
                <c:pt idx="7">
                  <c:v>2.2522018715837564E-6</c:v>
                </c:pt>
                <c:pt idx="8">
                  <c:v>7.3963900319130033E-8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0-4534-BE61-264F671B98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216319"/>
        <c:axId val="474222079"/>
      </c:barChart>
      <c:catAx>
        <c:axId val="47421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22079"/>
        <c:crosses val="autoZero"/>
        <c:auto val="1"/>
        <c:lblAlgn val="ctr"/>
        <c:lblOffset val="100"/>
        <c:noMultiLvlLbl val="0"/>
      </c:catAx>
      <c:valAx>
        <c:axId val="47422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1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Probability Compared to the Competitors by Segment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Results Summary'!$B$47</c:f>
              <c:strCache>
                <c:ptCount val="1"/>
                <c:pt idx="0">
                  <c:v>Segment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Results Summary'!$A$48:$A$56</c:f>
              <c:strCache>
                <c:ptCount val="9"/>
                <c:pt idx="0">
                  <c:v>Bundle 1</c:v>
                </c:pt>
                <c:pt idx="1">
                  <c:v>Bundle 2</c:v>
                </c:pt>
                <c:pt idx="2">
                  <c:v>Bundle 3</c:v>
                </c:pt>
                <c:pt idx="3">
                  <c:v>Bundle 4</c:v>
                </c:pt>
                <c:pt idx="4">
                  <c:v>Bundle 5</c:v>
                </c:pt>
                <c:pt idx="5">
                  <c:v>Bundle 6</c:v>
                </c:pt>
                <c:pt idx="6">
                  <c:v>Bundle 7</c:v>
                </c:pt>
                <c:pt idx="7">
                  <c:v>Bundle 8</c:v>
                </c:pt>
                <c:pt idx="8">
                  <c:v>Bundle 9</c:v>
                </c:pt>
              </c:strCache>
            </c:strRef>
          </c:cat>
          <c:val>
            <c:numRef>
              <c:f>'Key Results Summary'!$B$48:$B$56</c:f>
              <c:numCache>
                <c:formatCode>0.0%</c:formatCode>
                <c:ptCount val="9"/>
                <c:pt idx="0">
                  <c:v>0.99933646482830363</c:v>
                </c:pt>
                <c:pt idx="1">
                  <c:v>0.44910020418875174</c:v>
                </c:pt>
                <c:pt idx="2">
                  <c:v>5.961157499081246E-2</c:v>
                </c:pt>
                <c:pt idx="3">
                  <c:v>0.44505367892187109</c:v>
                </c:pt>
                <c:pt idx="4">
                  <c:v>0.3431892567077488</c:v>
                </c:pt>
                <c:pt idx="5">
                  <c:v>3.2662704626926571E-6</c:v>
                </c:pt>
                <c:pt idx="6">
                  <c:v>0.97572458613032098</c:v>
                </c:pt>
                <c:pt idx="7">
                  <c:v>4.9806392291965727E-6</c:v>
                </c:pt>
                <c:pt idx="8">
                  <c:v>1.6410449179106914E-7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4-4F54-A94B-48740F32C939}"/>
            </c:ext>
          </c:extLst>
        </c:ser>
        <c:ser>
          <c:idx val="1"/>
          <c:order val="1"/>
          <c:tx>
            <c:strRef>
              <c:f>'Key Results Summary'!$C$47</c:f>
              <c:strCache>
                <c:ptCount val="1"/>
                <c:pt idx="0">
                  <c:v>Segment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Results Summary'!$A$48:$A$56</c:f>
              <c:strCache>
                <c:ptCount val="9"/>
                <c:pt idx="0">
                  <c:v>Bundle 1</c:v>
                </c:pt>
                <c:pt idx="1">
                  <c:v>Bundle 2</c:v>
                </c:pt>
                <c:pt idx="2">
                  <c:v>Bundle 3</c:v>
                </c:pt>
                <c:pt idx="3">
                  <c:v>Bundle 4</c:v>
                </c:pt>
                <c:pt idx="4">
                  <c:v>Bundle 5</c:v>
                </c:pt>
                <c:pt idx="5">
                  <c:v>Bundle 6</c:v>
                </c:pt>
                <c:pt idx="6">
                  <c:v>Bundle 7</c:v>
                </c:pt>
                <c:pt idx="7">
                  <c:v>Bundle 8</c:v>
                </c:pt>
                <c:pt idx="8">
                  <c:v>Bundle 9</c:v>
                </c:pt>
              </c:strCache>
            </c:strRef>
          </c:cat>
          <c:val>
            <c:numRef>
              <c:f>'Key Results Summary'!$C$48:$C$56</c:f>
              <c:numCache>
                <c:formatCode>0.0%</c:formatCode>
                <c:ptCount val="9"/>
                <c:pt idx="0">
                  <c:v>0.85519169574518028</c:v>
                </c:pt>
                <c:pt idx="1">
                  <c:v>0.65670028157725591</c:v>
                </c:pt>
                <c:pt idx="2">
                  <c:v>0.40005519766895931</c:v>
                </c:pt>
                <c:pt idx="3">
                  <c:v>0.1092737533822659</c:v>
                </c:pt>
                <c:pt idx="4">
                  <c:v>0.11581241643389682</c:v>
                </c:pt>
                <c:pt idx="5">
                  <c:v>8.4741314007968055E-10</c:v>
                </c:pt>
                <c:pt idx="6">
                  <c:v>5.7426632373513316E-3</c:v>
                </c:pt>
                <c:pt idx="7">
                  <c:v>1.318725385658285E-8</c:v>
                </c:pt>
                <c:pt idx="8">
                  <c:v>1.4123541712875624E-12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4-4F54-A94B-48740F32C939}"/>
            </c:ext>
          </c:extLst>
        </c:ser>
        <c:ser>
          <c:idx val="2"/>
          <c:order val="2"/>
          <c:tx>
            <c:strRef>
              <c:f>'Key Results Summary'!$D$47</c:f>
              <c:strCache>
                <c:ptCount val="1"/>
                <c:pt idx="0">
                  <c:v>Segment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Results Summary'!$A$48:$A$56</c:f>
              <c:strCache>
                <c:ptCount val="9"/>
                <c:pt idx="0">
                  <c:v>Bundle 1</c:v>
                </c:pt>
                <c:pt idx="1">
                  <c:v>Bundle 2</c:v>
                </c:pt>
                <c:pt idx="2">
                  <c:v>Bundle 3</c:v>
                </c:pt>
                <c:pt idx="3">
                  <c:v>Bundle 4</c:v>
                </c:pt>
                <c:pt idx="4">
                  <c:v>Bundle 5</c:v>
                </c:pt>
                <c:pt idx="5">
                  <c:v>Bundle 6</c:v>
                </c:pt>
                <c:pt idx="6">
                  <c:v>Bundle 7</c:v>
                </c:pt>
                <c:pt idx="7">
                  <c:v>Bundle 8</c:v>
                </c:pt>
                <c:pt idx="8">
                  <c:v>Bundle 9</c:v>
                </c:pt>
              </c:strCache>
            </c:strRef>
          </c:cat>
          <c:val>
            <c:numRef>
              <c:f>'Key Results Summary'!$D$48:$D$56</c:f>
              <c:numCache>
                <c:formatCode>0.0%</c:formatCode>
                <c:ptCount val="9"/>
                <c:pt idx="0">
                  <c:v>0.66351321769784866</c:v>
                </c:pt>
                <c:pt idx="1">
                  <c:v>0.26245706963815452</c:v>
                </c:pt>
                <c:pt idx="2">
                  <c:v>0.33877579511108546</c:v>
                </c:pt>
                <c:pt idx="3">
                  <c:v>0.11294849441734468</c:v>
                </c:pt>
                <c:pt idx="4">
                  <c:v>0.46547924957501619</c:v>
                </c:pt>
                <c:pt idx="5">
                  <c:v>1.14507921781241E-9</c:v>
                </c:pt>
                <c:pt idx="6">
                  <c:v>0.59093829124646169</c:v>
                </c:pt>
                <c:pt idx="7">
                  <c:v>3.7595446017768167E-8</c:v>
                </c:pt>
                <c:pt idx="8">
                  <c:v>7.7542714320263391E-10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84-4F54-A94B-48740F32C9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242719"/>
        <c:axId val="474243199"/>
      </c:barChart>
      <c:catAx>
        <c:axId val="47424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43199"/>
        <c:crosses val="autoZero"/>
        <c:auto val="1"/>
        <c:lblAlgn val="ctr"/>
        <c:lblOffset val="100"/>
        <c:noMultiLvlLbl val="0"/>
      </c:catAx>
      <c:valAx>
        <c:axId val="4742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4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276225</xdr:colOff>
      <xdr:row>1</xdr:row>
      <xdr:rowOff>152399</xdr:rowOff>
    </xdr:from>
    <xdr:to>
      <xdr:col>21</xdr:col>
      <xdr:colOff>291582</xdr:colOff>
      <xdr:row>15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5F4510-B48B-8CB6-537D-13EC2FA94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419099</xdr:colOff>
      <xdr:row>1</xdr:row>
      <xdr:rowOff>152399</xdr:rowOff>
    </xdr:from>
    <xdr:to>
      <xdr:col>12</xdr:col>
      <xdr:colOff>38099</xdr:colOff>
      <xdr:row>15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89744B-F700-0FB9-132A-F613438A7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252898</xdr:colOff>
      <xdr:row>19</xdr:row>
      <xdr:rowOff>4861</xdr:rowOff>
    </xdr:from>
    <xdr:to>
      <xdr:col>12</xdr:col>
      <xdr:colOff>195747</xdr:colOff>
      <xdr:row>34</xdr:row>
      <xdr:rowOff>154149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F7FE3F-D2C6-CFFA-1981-3AC9AFE36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305126</xdr:colOff>
      <xdr:row>18</xdr:row>
      <xdr:rowOff>30052</xdr:rowOff>
    </xdr:from>
    <xdr:to>
      <xdr:col>27</xdr:col>
      <xdr:colOff>524847</xdr:colOff>
      <xdr:row>32</xdr:row>
      <xdr:rowOff>106909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F70B3E-90DF-D639-C0F7-A5FDBA2C3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296093</xdr:colOff>
      <xdr:row>32</xdr:row>
      <xdr:rowOff>125466</xdr:rowOff>
    </xdr:from>
    <xdr:to>
      <xdr:col>31</xdr:col>
      <xdr:colOff>320738</xdr:colOff>
      <xdr:row>47</xdr:row>
      <xdr:rowOff>85724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314A15-6687-D8C7-F5F0-9D92D7E1F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56"/>
  <sheetViews>
    <sheetView topLeftCell="A25" zoomScale="42" zoomScaleNormal="60" workbookViewId="0">
      <selection activeCell="A8" sqref="A8"/>
    </sheetView>
  </sheetViews>
  <sheetFormatPr defaultColWidth="8.6640625" defaultRowHeight="14.25" x14ac:dyDescent="0.45"/>
  <cols>
    <col min="1" max="1" width="29.06640625" customWidth="1"/>
    <col min="2" max="2" width="22.265625" customWidth="1"/>
    <col min="3" max="3" width="19.6640625" customWidth="1"/>
    <col min="4" max="4" width="22.265625" customWidth="1"/>
    <col min="5" max="5" width="21.59765625" customWidth="1"/>
    <col min="6" max="7" width="18.59765625" customWidth="1"/>
    <col min="8" max="8" width="17" customWidth="1"/>
    <col min="9" max="9" width="21.59765625" customWidth="1"/>
    <col min="10" max="10" width="16.59765625" customWidth="1"/>
    <col min="11" max="11" width="18.9296875" customWidth="1"/>
    <col min="12" max="12" width="18.06640625" customWidth="1"/>
    <col min="13" max="21" width="14.265625" customWidth="1"/>
    <col min="22" max="22" width="11.33203125" customWidth="1"/>
  </cols>
  <sheetData>
    <row r="1" spans="1:18" ht="51" customHeight="1" x14ac:dyDescent="0.45">
      <c r="A1" s="59" t="s">
        <v>70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3" spans="1:18" ht="21.75" customHeight="1" x14ac:dyDescent="0.5">
      <c r="A3" s="4" t="s">
        <v>71</v>
      </c>
      <c r="B3" s="5"/>
      <c r="C3" s="5"/>
      <c r="D3" s="5"/>
      <c r="E3" s="5"/>
      <c r="F3" s="5"/>
      <c r="G3" s="5"/>
      <c r="H3" s="5"/>
      <c r="I3" s="5"/>
      <c r="J3" s="5"/>
      <c r="K3" s="27"/>
      <c r="L3" s="4" t="s">
        <v>71</v>
      </c>
      <c r="M3" s="5"/>
      <c r="N3" s="5"/>
      <c r="O3" s="5"/>
      <c r="P3" s="5"/>
    </row>
    <row r="4" spans="1:18" ht="14.25" customHeight="1" x14ac:dyDescent="0.45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80</v>
      </c>
      <c r="J4" s="24" t="s">
        <v>81</v>
      </c>
      <c r="K4" s="27"/>
      <c r="L4" s="26" t="s">
        <v>72</v>
      </c>
      <c r="M4" s="15" t="s">
        <v>5</v>
      </c>
      <c r="N4" s="15" t="s">
        <v>4</v>
      </c>
      <c r="O4" s="15" t="s">
        <v>7</v>
      </c>
      <c r="P4" s="15" t="s">
        <v>6</v>
      </c>
    </row>
    <row r="5" spans="1:18" ht="14.25" customHeight="1" x14ac:dyDescent="0.45">
      <c r="A5" s="15" t="s">
        <v>5</v>
      </c>
      <c r="B5" s="6" t="s">
        <v>82</v>
      </c>
      <c r="C5" s="6" t="s">
        <v>82</v>
      </c>
      <c r="D5" s="6" t="s">
        <v>82</v>
      </c>
      <c r="E5" s="6" t="s">
        <v>83</v>
      </c>
      <c r="F5" s="6" t="s">
        <v>83</v>
      </c>
      <c r="G5" s="6" t="s">
        <v>83</v>
      </c>
      <c r="H5" s="6" t="s">
        <v>84</v>
      </c>
      <c r="I5" s="6" t="s">
        <v>84</v>
      </c>
      <c r="J5" s="25" t="s">
        <v>84</v>
      </c>
      <c r="K5" s="27"/>
      <c r="L5" s="26" t="s">
        <v>73</v>
      </c>
      <c r="M5" s="6" t="s">
        <v>82</v>
      </c>
      <c r="N5" s="6" t="s">
        <v>85</v>
      </c>
      <c r="O5" s="6" t="s">
        <v>86</v>
      </c>
      <c r="P5" s="6">
        <v>10</v>
      </c>
    </row>
    <row r="6" spans="1:18" ht="14.25" customHeight="1" x14ac:dyDescent="0.45">
      <c r="A6" s="15" t="s">
        <v>4</v>
      </c>
      <c r="B6" s="6" t="s">
        <v>85</v>
      </c>
      <c r="C6" s="6" t="s">
        <v>87</v>
      </c>
      <c r="D6" s="6" t="s">
        <v>88</v>
      </c>
      <c r="E6" s="6" t="s">
        <v>85</v>
      </c>
      <c r="F6" s="6" t="s">
        <v>87</v>
      </c>
      <c r="G6" s="6" t="s">
        <v>88</v>
      </c>
      <c r="H6" s="6" t="s">
        <v>85</v>
      </c>
      <c r="I6" s="6" t="s">
        <v>87</v>
      </c>
      <c r="J6" s="25" t="s">
        <v>88</v>
      </c>
      <c r="K6" s="27"/>
      <c r="L6" s="26" t="s">
        <v>74</v>
      </c>
      <c r="M6" s="6" t="s">
        <v>82</v>
      </c>
      <c r="N6" s="6" t="s">
        <v>87</v>
      </c>
      <c r="O6" s="6" t="s">
        <v>86</v>
      </c>
      <c r="P6" s="6">
        <v>9</v>
      </c>
    </row>
    <row r="7" spans="1:18" ht="14.25" customHeight="1" x14ac:dyDescent="0.45">
      <c r="A7" s="15" t="s">
        <v>7</v>
      </c>
      <c r="B7" s="6" t="s">
        <v>86</v>
      </c>
      <c r="C7" s="6" t="s">
        <v>86</v>
      </c>
      <c r="D7" s="6" t="s">
        <v>89</v>
      </c>
      <c r="E7" s="6" t="s">
        <v>89</v>
      </c>
      <c r="F7" s="6" t="s">
        <v>86</v>
      </c>
      <c r="G7" s="6" t="s">
        <v>86</v>
      </c>
      <c r="H7" s="6" t="s">
        <v>86</v>
      </c>
      <c r="I7" s="6" t="s">
        <v>89</v>
      </c>
      <c r="J7" s="25" t="s">
        <v>86</v>
      </c>
      <c r="K7" s="27"/>
      <c r="L7" s="26" t="s">
        <v>75</v>
      </c>
      <c r="M7" s="6" t="s">
        <v>82</v>
      </c>
      <c r="N7" s="6" t="s">
        <v>88</v>
      </c>
      <c r="O7" s="6" t="s">
        <v>89</v>
      </c>
      <c r="P7" s="6">
        <v>8</v>
      </c>
    </row>
    <row r="8" spans="1:18" ht="14.25" customHeight="1" x14ac:dyDescent="0.45">
      <c r="A8" s="29" t="s">
        <v>6</v>
      </c>
      <c r="B8" s="30">
        <v>10</v>
      </c>
      <c r="C8" s="30">
        <v>9</v>
      </c>
      <c r="D8" s="30">
        <v>8</v>
      </c>
      <c r="E8" s="30">
        <v>9</v>
      </c>
      <c r="F8" s="30">
        <v>8</v>
      </c>
      <c r="G8" s="30">
        <v>10</v>
      </c>
      <c r="H8" s="30">
        <v>8</v>
      </c>
      <c r="I8" s="30">
        <v>10</v>
      </c>
      <c r="J8" s="31">
        <v>9</v>
      </c>
      <c r="K8" s="27"/>
      <c r="L8" s="26" t="s">
        <v>76</v>
      </c>
      <c r="M8" s="6" t="s">
        <v>83</v>
      </c>
      <c r="N8" s="6" t="s">
        <v>85</v>
      </c>
      <c r="O8" s="6" t="s">
        <v>89</v>
      </c>
      <c r="P8" s="6">
        <v>9</v>
      </c>
    </row>
    <row r="9" spans="1:18" ht="14.25" customHeight="1" x14ac:dyDescent="0.45">
      <c r="A9" s="34"/>
      <c r="B9" s="34"/>
      <c r="C9" s="34"/>
      <c r="D9" s="34"/>
      <c r="E9" s="34"/>
      <c r="F9" s="34"/>
      <c r="G9" s="34"/>
      <c r="H9" s="34"/>
      <c r="I9" s="34"/>
      <c r="J9" s="34"/>
      <c r="K9" s="28"/>
      <c r="L9" s="26" t="s">
        <v>77</v>
      </c>
      <c r="M9" s="6" t="s">
        <v>83</v>
      </c>
      <c r="N9" s="6" t="s">
        <v>87</v>
      </c>
      <c r="O9" s="6" t="s">
        <v>86</v>
      </c>
      <c r="P9" s="6">
        <v>8</v>
      </c>
    </row>
    <row r="10" spans="1:18" ht="14.25" customHeight="1" x14ac:dyDescent="0.45">
      <c r="K10" s="28"/>
      <c r="L10" s="26" t="s">
        <v>78</v>
      </c>
      <c r="M10" s="6" t="s">
        <v>83</v>
      </c>
      <c r="N10" s="6" t="s">
        <v>88</v>
      </c>
      <c r="O10" s="6" t="s">
        <v>86</v>
      </c>
      <c r="P10" s="6">
        <v>10</v>
      </c>
    </row>
    <row r="11" spans="1:18" ht="21.75" customHeight="1" x14ac:dyDescent="0.5">
      <c r="A11" s="32" t="s">
        <v>90</v>
      </c>
      <c r="B11" s="33"/>
      <c r="C11" s="33"/>
      <c r="D11" s="33"/>
      <c r="E11" s="33"/>
      <c r="F11" s="33"/>
      <c r="G11" s="33"/>
      <c r="H11" s="35"/>
      <c r="I11" s="36"/>
      <c r="K11" s="28"/>
      <c r="L11" s="26" t="s">
        <v>79</v>
      </c>
      <c r="M11" s="6" t="s">
        <v>84</v>
      </c>
      <c r="N11" s="6" t="s">
        <v>85</v>
      </c>
      <c r="O11" s="6" t="s">
        <v>86</v>
      </c>
      <c r="P11" s="6">
        <v>8</v>
      </c>
    </row>
    <row r="12" spans="1:18" ht="14.25" customHeight="1" x14ac:dyDescent="0.45">
      <c r="A12" s="1" t="s">
        <v>91</v>
      </c>
      <c r="B12" s="60" t="s">
        <v>92</v>
      </c>
      <c r="C12" s="60"/>
      <c r="D12" s="60"/>
      <c r="E12" s="60"/>
      <c r="F12" s="60"/>
      <c r="G12" s="60"/>
      <c r="H12" s="61"/>
      <c r="I12" s="36"/>
      <c r="K12" s="28"/>
      <c r="L12" s="26" t="s">
        <v>80</v>
      </c>
      <c r="M12" s="6" t="s">
        <v>84</v>
      </c>
      <c r="N12" s="6" t="s">
        <v>87</v>
      </c>
      <c r="O12" s="6" t="s">
        <v>89</v>
      </c>
      <c r="P12" s="6">
        <v>10</v>
      </c>
    </row>
    <row r="13" spans="1:18" ht="14.25" customHeight="1" x14ac:dyDescent="0.45">
      <c r="A13" s="1"/>
      <c r="B13" s="1" t="s">
        <v>41</v>
      </c>
      <c r="C13" s="1" t="s">
        <v>42</v>
      </c>
      <c r="D13" s="1" t="s">
        <v>43</v>
      </c>
      <c r="E13" s="1" t="s">
        <v>44</v>
      </c>
      <c r="F13" s="1" t="s">
        <v>45</v>
      </c>
      <c r="G13" s="1" t="s">
        <v>46</v>
      </c>
      <c r="H13" s="24" t="s">
        <v>47</v>
      </c>
      <c r="I13" s="36"/>
      <c r="K13" s="28"/>
      <c r="L13" s="26" t="s">
        <v>81</v>
      </c>
      <c r="M13" s="6" t="s">
        <v>84</v>
      </c>
      <c r="N13" s="6" t="s">
        <v>88</v>
      </c>
      <c r="O13" s="6" t="s">
        <v>86</v>
      </c>
      <c r="P13" s="6">
        <v>9</v>
      </c>
    </row>
    <row r="14" spans="1:18" ht="14.25" customHeight="1" x14ac:dyDescent="0.45">
      <c r="A14" s="15" t="s">
        <v>73</v>
      </c>
      <c r="B14" s="6" cm="1">
        <f t="array" ref="B14">_xlfn.IFS(M5="Low Resistance",0,M5="Medium Resistance",1,M5="High Resistance",0)</f>
        <v>0</v>
      </c>
      <c r="C14" s="6" cm="1">
        <f t="array" ref="C14">_xlfn.IFS(M5="Low Resistance",0,M5="Medium Resistance",0,M5="High Resistance",1)</f>
        <v>0</v>
      </c>
      <c r="D14" s="6" cm="1">
        <f t="array" ref="D14">_xlfn.IFS(N5="1 week",0,N5="1.2 weeks",1,N5="1.5 weeks",0)</f>
        <v>0</v>
      </c>
      <c r="E14" s="6" cm="1">
        <f t="array" ref="E14">_xlfn.IFS(N5="1 week",0,N5="1.2 weeks",0,N5="1.5 weeks",1)</f>
        <v>0</v>
      </c>
      <c r="F14" s="6" cm="1">
        <f t="array" ref="F14">_xlfn.IFS(O5="No Imperfections",0,O5="Minimal Imperfections",1)</f>
        <v>0</v>
      </c>
      <c r="G14" s="6" cm="1">
        <f t="array" ref="G14">_xlfn.IFS(P5=8,0,P5=9,1,P5=10,0)</f>
        <v>0</v>
      </c>
      <c r="H14" s="6" cm="1">
        <f t="array" ref="H14">_xlfn.IFS(P5=8,0,P5=9,0,P5=10,1)</f>
        <v>1</v>
      </c>
    </row>
    <row r="15" spans="1:18" ht="14.25" customHeight="1" x14ac:dyDescent="0.45">
      <c r="A15" s="15" t="s">
        <v>74</v>
      </c>
      <c r="B15" s="6" cm="1">
        <f t="array" ref="B15">_xlfn.IFS(M6="Low Resistance",0,M6="Medium Resistance",1,M6="High Resistance",0)</f>
        <v>0</v>
      </c>
      <c r="C15" s="6" cm="1">
        <f t="array" ref="C15">_xlfn.IFS(M6="Low Resistance",0,M6="Medium Resistance",0,M6="High Resistance",1)</f>
        <v>0</v>
      </c>
      <c r="D15" s="6" cm="1">
        <f t="array" ref="D15">_xlfn.IFS(N6="1 week",0,N6="1.2 weeks",1,N6="1.5 weeks",0)</f>
        <v>1</v>
      </c>
      <c r="E15" s="6" cm="1">
        <f t="array" ref="E15">_xlfn.IFS(N6="1 week",0,N6="1.2 weeks",0,N6="1.5 weeks",1)</f>
        <v>0</v>
      </c>
      <c r="F15" s="6" cm="1">
        <f t="array" ref="F15">_xlfn.IFS(O6="No Imperfections",0,O6="Minimal Imperfections",1)</f>
        <v>0</v>
      </c>
      <c r="G15" s="6" cm="1">
        <f t="array" ref="G15">_xlfn.IFS(P6=8,0,P6=9,1,P6=10,0)</f>
        <v>1</v>
      </c>
      <c r="H15" s="6" cm="1">
        <f t="array" ref="H15">_xlfn.IFS(P6=8,0,P6=9,0,P6=10,1)</f>
        <v>0</v>
      </c>
    </row>
    <row r="16" spans="1:18" ht="14.25" customHeight="1" x14ac:dyDescent="0.45">
      <c r="A16" s="15" t="s">
        <v>75</v>
      </c>
      <c r="B16" s="6" cm="1">
        <f t="array" ref="B16">_xlfn.IFS(M7="Low Resistance",0,M7="Medium Resistance",1,M7="High Resistance",0)</f>
        <v>0</v>
      </c>
      <c r="C16" s="6" cm="1">
        <f t="array" ref="C16">_xlfn.IFS(M7="Low Resistance",0,M7="Medium Resistance",0,M7="High Resistance",1)</f>
        <v>0</v>
      </c>
      <c r="D16" s="6" cm="1">
        <f t="array" ref="D16">_xlfn.IFS(N7="1 week",0,N7="1.2 weeks",1,N7="1.5 weeks",0)</f>
        <v>0</v>
      </c>
      <c r="E16" s="6" cm="1">
        <f t="array" ref="E16">_xlfn.IFS(N7="1 week",0,N7="1.2 weeks",0,N7="1.5 weeks",1)</f>
        <v>1</v>
      </c>
      <c r="F16" s="6" cm="1">
        <f t="array" ref="F16">_xlfn.IFS(O7="No Imperfections",0,O7="Minimal Imperfections",1)</f>
        <v>1</v>
      </c>
      <c r="G16" s="6" cm="1">
        <f t="array" ref="G16">_xlfn.IFS(P7=8,0,P7=9,1,P7=10,0)</f>
        <v>0</v>
      </c>
      <c r="H16" s="6" cm="1">
        <f t="array" ref="H16">_xlfn.IFS(P7=8,0,P7=9,0,P7=10,1)</f>
        <v>0</v>
      </c>
    </row>
    <row r="17" spans="1:21" ht="14.25" customHeight="1" x14ac:dyDescent="0.45">
      <c r="A17" s="15" t="s">
        <v>76</v>
      </c>
      <c r="B17" s="6" cm="1">
        <f t="array" ref="B17">_xlfn.IFS(M8="Low Resistance",0,M8="Medium Resistance",1,M8="High Resistance",0)</f>
        <v>1</v>
      </c>
      <c r="C17" s="6" cm="1">
        <f t="array" ref="C17">_xlfn.IFS(M8="Low Resistance",0,M8="Medium Resistance",0,M8="High Resistance",1)</f>
        <v>0</v>
      </c>
      <c r="D17" s="6" cm="1">
        <f t="array" ref="D17">_xlfn.IFS(N8="1 week",0,N8="1.2 weeks",1,N8="1.5 weeks",0)</f>
        <v>0</v>
      </c>
      <c r="E17" s="6" cm="1">
        <f t="array" ref="E17">_xlfn.IFS(N8="1 week",0,N8="1.2 weeks",0,N8="1.5 weeks",1)</f>
        <v>0</v>
      </c>
      <c r="F17" s="6" cm="1">
        <f t="array" ref="F17">_xlfn.IFS(O8="No Imperfections",0,O8="Minimal Imperfections",1)</f>
        <v>1</v>
      </c>
      <c r="G17" s="6" cm="1">
        <f t="array" ref="G17">_xlfn.IFS(P8=8,0,P8=9,1,P8=10,0)</f>
        <v>1</v>
      </c>
      <c r="H17" s="6" cm="1">
        <f t="array" ref="H17">_xlfn.IFS(P8=8,0,P8=9,0,P8=10,1)</f>
        <v>0</v>
      </c>
    </row>
    <row r="18" spans="1:21" ht="14.25" customHeight="1" x14ac:dyDescent="0.45">
      <c r="A18" s="15" t="s">
        <v>77</v>
      </c>
      <c r="B18" s="6" cm="1">
        <f t="array" ref="B18">_xlfn.IFS(M9="Low Resistance",0,M9="Medium Resistance",1,M9="High Resistance",0)</f>
        <v>1</v>
      </c>
      <c r="C18" s="6" cm="1">
        <f t="array" ref="C18">_xlfn.IFS(M9="Low Resistance",0,M9="Medium Resistance",0,M9="High Resistance",1)</f>
        <v>0</v>
      </c>
      <c r="D18" s="6" cm="1">
        <f t="array" ref="D18">_xlfn.IFS(N9="1 week",0,N9="1.2 weeks",1,N9="1.5 weeks",0)</f>
        <v>1</v>
      </c>
      <c r="E18" s="6" cm="1">
        <f t="array" ref="E18">_xlfn.IFS(N9="1 week",0,N9="1.2 weeks",0,N9="1.5 weeks",1)</f>
        <v>0</v>
      </c>
      <c r="F18" s="6" cm="1">
        <f t="array" ref="F18">_xlfn.IFS(O9="No Imperfections",0,O9="Minimal Imperfections",1)</f>
        <v>0</v>
      </c>
      <c r="G18" s="6" cm="1">
        <f t="array" ref="G18">_xlfn.IFS(P9=8,0,P9=9,1,P9=10,0)</f>
        <v>0</v>
      </c>
      <c r="H18" s="6" cm="1">
        <f t="array" ref="H18">_xlfn.IFS(P9=8,0,P9=9,0,P9=10,1)</f>
        <v>0</v>
      </c>
    </row>
    <row r="19" spans="1:21" ht="14.25" customHeight="1" x14ac:dyDescent="0.45">
      <c r="A19" s="15" t="s">
        <v>78</v>
      </c>
      <c r="B19" s="6" cm="1">
        <f t="array" ref="B19">_xlfn.IFS(M10="Low Resistance",0,M10="Medium Resistance",1,M10="High Resistance",0)</f>
        <v>1</v>
      </c>
      <c r="C19" s="6" cm="1">
        <f t="array" ref="C19">_xlfn.IFS(M10="Low Resistance",0,M10="Medium Resistance",0,M10="High Resistance",1)</f>
        <v>0</v>
      </c>
      <c r="D19" s="6" cm="1">
        <f t="array" ref="D19">_xlfn.IFS(N10="1 week",0,N10="1.2 weeks",1,N10="1.5 weeks",0)</f>
        <v>0</v>
      </c>
      <c r="E19" s="6" cm="1">
        <f t="array" ref="E19">_xlfn.IFS(N10="1 week",0,N10="1.2 weeks",0,N10="1.5 weeks",1)</f>
        <v>1</v>
      </c>
      <c r="F19" s="6" cm="1">
        <f t="array" ref="F19">_xlfn.IFS(O10="No Imperfections",0,O10="Minimal Imperfections",1)</f>
        <v>0</v>
      </c>
      <c r="G19" s="6" cm="1">
        <f t="array" ref="G19">_xlfn.IFS(P10=8,0,P10=9,1,P10=10,0)</f>
        <v>0</v>
      </c>
      <c r="H19" s="6" cm="1">
        <f t="array" ref="H19">_xlfn.IFS(P10=8,0,P10=9,0,P10=10,1)</f>
        <v>1</v>
      </c>
    </row>
    <row r="20" spans="1:21" ht="14.25" customHeight="1" x14ac:dyDescent="0.45">
      <c r="A20" s="15" t="s">
        <v>79</v>
      </c>
      <c r="B20" s="6" cm="1">
        <f t="array" ref="B20">_xlfn.IFS(M11="Low Resistance",0,M11="Medium Resistance",1,M11="High Resistance",0)</f>
        <v>0</v>
      </c>
      <c r="C20" s="6" cm="1">
        <f t="array" ref="C20">_xlfn.IFS(M11="Low Resistance",0,M11="Medium Resistance",0,M11="High Resistance",1)</f>
        <v>1</v>
      </c>
      <c r="D20" s="6" cm="1">
        <f t="array" ref="D20">_xlfn.IFS(N11="1 week",0,N11="1.2 weeks",1,N11="1.5 weeks",0)</f>
        <v>0</v>
      </c>
      <c r="E20" s="6" cm="1">
        <f t="array" ref="E20">_xlfn.IFS(N11="1 week",0,N11="1.2 weeks",0,N11="1.5 weeks",1)</f>
        <v>0</v>
      </c>
      <c r="F20" s="6" cm="1">
        <f t="array" ref="F20">_xlfn.IFS(O11="No Imperfections",0,O11="Minimal Imperfections",1)</f>
        <v>0</v>
      </c>
      <c r="G20" s="6" cm="1">
        <f t="array" ref="G20">_xlfn.IFS(P11=8,0,P11=9,1,P11=10,0)</f>
        <v>0</v>
      </c>
      <c r="H20" s="6" cm="1">
        <f t="array" ref="H20">_xlfn.IFS(P11=8,0,P11=9,0,P11=10,1)</f>
        <v>0</v>
      </c>
    </row>
    <row r="21" spans="1:21" ht="14.25" customHeight="1" x14ac:dyDescent="0.45">
      <c r="A21" s="15" t="s">
        <v>80</v>
      </c>
      <c r="B21" s="6" cm="1">
        <f t="array" ref="B21">_xlfn.IFS(M12="Low Resistance",0,M12="Medium Resistance",1,M12="High Resistance",0)</f>
        <v>0</v>
      </c>
      <c r="C21" s="6" cm="1">
        <f t="array" ref="C21">_xlfn.IFS(M12="Low Resistance",0,M12="Medium Resistance",0,M12="High Resistance",1)</f>
        <v>1</v>
      </c>
      <c r="D21" s="6" cm="1">
        <f t="array" ref="D21">_xlfn.IFS(N12="1 week",0,N12="1.2 weeks",1,N12="1.5 weeks",0)</f>
        <v>1</v>
      </c>
      <c r="E21" s="6" cm="1">
        <f t="array" ref="E21">_xlfn.IFS(N12="1 week",0,N12="1.2 weeks",0,N12="1.5 weeks",1)</f>
        <v>0</v>
      </c>
      <c r="F21" s="6" cm="1">
        <f t="array" ref="F21">_xlfn.IFS(O12="No Imperfections",0,O12="Minimal Imperfections",1)</f>
        <v>1</v>
      </c>
      <c r="G21" s="6" cm="1">
        <f t="array" ref="G21">_xlfn.IFS(P12=8,0,P12=9,1,P12=10,0)</f>
        <v>0</v>
      </c>
      <c r="H21" s="6" cm="1">
        <f t="array" ref="H21">_xlfn.IFS(P12=8,0,P12=9,0,P12=10,1)</f>
        <v>1</v>
      </c>
    </row>
    <row r="22" spans="1:21" ht="14.25" customHeight="1" x14ac:dyDescent="0.45">
      <c r="A22" s="15" t="s">
        <v>81</v>
      </c>
      <c r="B22" s="6" cm="1">
        <f t="array" ref="B22">_xlfn.IFS(M13="Low Resistance",0,M13="Medium Resistance",1,M13="High Resistance",0)</f>
        <v>0</v>
      </c>
      <c r="C22" s="6" cm="1">
        <f t="array" ref="C22">_xlfn.IFS(M13="Low Resistance",0,M13="Medium Resistance",0,M13="High Resistance",1)</f>
        <v>1</v>
      </c>
      <c r="D22" s="6" cm="1">
        <f t="array" ref="D22">_xlfn.IFS(N13="1 week",0,N13="1.2 weeks",1,N13="1.5 weeks",0)</f>
        <v>0</v>
      </c>
      <c r="E22" s="6" cm="1">
        <f t="array" ref="E22">_xlfn.IFS(N13="1 week",0,N13="1.2 weeks",0,N13="1.5 weeks",1)</f>
        <v>1</v>
      </c>
      <c r="F22" s="6" cm="1">
        <f t="array" ref="F22">_xlfn.IFS(O13="No Imperfections",0,O13="Minimal Imperfections",1)</f>
        <v>0</v>
      </c>
      <c r="G22" s="6" cm="1">
        <f t="array" ref="G22">_xlfn.IFS(P13=8,0,P13=9,1,P13=10,0)</f>
        <v>1</v>
      </c>
      <c r="H22" s="6" cm="1">
        <f t="array" ref="H22">_xlfn.IFS(P13=8,0,P13=9,0,P13=10,1)</f>
        <v>0</v>
      </c>
    </row>
    <row r="25" spans="1:21" ht="21.75" customHeight="1" x14ac:dyDescent="0.5">
      <c r="A25" s="4" t="s">
        <v>93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14.25" customHeight="1" x14ac:dyDescent="0.45">
      <c r="A26" s="62" t="s">
        <v>91</v>
      </c>
      <c r="B26" s="60" t="s">
        <v>94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ht="14.25" customHeight="1" x14ac:dyDescent="0.45">
      <c r="A27" s="62"/>
      <c r="B27" s="1" t="s">
        <v>95</v>
      </c>
      <c r="C27" s="1" t="s">
        <v>96</v>
      </c>
      <c r="D27" s="1" t="s">
        <v>97</v>
      </c>
      <c r="E27" s="1" t="s">
        <v>98</v>
      </c>
      <c r="F27" s="1" t="s">
        <v>99</v>
      </c>
      <c r="G27" s="1" t="s">
        <v>100</v>
      </c>
      <c r="H27" s="1" t="s">
        <v>101</v>
      </c>
      <c r="I27" s="1" t="s">
        <v>102</v>
      </c>
      <c r="J27" s="1" t="s">
        <v>103</v>
      </c>
      <c r="K27" s="1" t="s">
        <v>104</v>
      </c>
      <c r="L27" s="1" t="s">
        <v>105</v>
      </c>
      <c r="M27" s="1" t="s">
        <v>106</v>
      </c>
      <c r="N27" s="1" t="s">
        <v>107</v>
      </c>
      <c r="O27" s="1" t="s">
        <v>108</v>
      </c>
      <c r="P27" s="1" t="s">
        <v>109</v>
      </c>
      <c r="Q27" s="1" t="s">
        <v>110</v>
      </c>
      <c r="R27" s="1" t="s">
        <v>111</v>
      </c>
      <c r="S27" s="1" t="s">
        <v>112</v>
      </c>
      <c r="T27" s="1" t="s">
        <v>113</v>
      </c>
      <c r="U27" s="1" t="s">
        <v>114</v>
      </c>
    </row>
    <row r="28" spans="1:21" ht="14.25" customHeight="1" x14ac:dyDescent="0.45">
      <c r="A28" s="15" t="s">
        <v>73</v>
      </c>
      <c r="B28" s="6">
        <v>79</v>
      </c>
      <c r="C28" s="6">
        <v>96</v>
      </c>
      <c r="D28" s="6">
        <v>50</v>
      </c>
      <c r="E28" s="6">
        <v>49</v>
      </c>
      <c r="F28" s="6">
        <v>65</v>
      </c>
      <c r="G28" s="6">
        <v>86</v>
      </c>
      <c r="H28" s="6">
        <v>49</v>
      </c>
      <c r="I28" s="6">
        <v>83</v>
      </c>
      <c r="J28" s="6">
        <v>49</v>
      </c>
      <c r="K28" s="6">
        <v>67</v>
      </c>
      <c r="L28" s="6">
        <v>38</v>
      </c>
      <c r="M28" s="6">
        <v>57</v>
      </c>
      <c r="N28" s="6">
        <v>79</v>
      </c>
      <c r="O28" s="6">
        <v>96</v>
      </c>
      <c r="P28" s="6">
        <v>53</v>
      </c>
      <c r="Q28" s="6">
        <v>64</v>
      </c>
      <c r="R28" s="6">
        <v>60</v>
      </c>
      <c r="S28" s="6">
        <v>90</v>
      </c>
      <c r="T28" s="6">
        <v>69</v>
      </c>
      <c r="U28" s="6">
        <v>93</v>
      </c>
    </row>
    <row r="29" spans="1:21" ht="14.25" customHeight="1" x14ac:dyDescent="0.45">
      <c r="A29" s="15" t="s">
        <v>74</v>
      </c>
      <c r="B29" s="6">
        <v>60</v>
      </c>
      <c r="C29" s="6">
        <v>81</v>
      </c>
      <c r="D29" s="6">
        <v>44</v>
      </c>
      <c r="E29" s="6">
        <v>45</v>
      </c>
      <c r="F29" s="6">
        <v>57</v>
      </c>
      <c r="G29" s="6">
        <v>62</v>
      </c>
      <c r="H29" s="6">
        <v>34</v>
      </c>
      <c r="I29" s="6">
        <v>90</v>
      </c>
      <c r="J29" s="6">
        <v>30</v>
      </c>
      <c r="K29" s="6">
        <v>52</v>
      </c>
      <c r="L29" s="6">
        <v>30</v>
      </c>
      <c r="M29" s="6">
        <v>47</v>
      </c>
      <c r="N29" s="6">
        <v>77</v>
      </c>
      <c r="O29" s="6">
        <v>98</v>
      </c>
      <c r="P29" s="6">
        <v>47</v>
      </c>
      <c r="Q29" s="6">
        <v>61</v>
      </c>
      <c r="R29" s="6">
        <v>59</v>
      </c>
      <c r="S29" s="6">
        <v>89</v>
      </c>
      <c r="T29" s="6">
        <v>67</v>
      </c>
      <c r="U29" s="6">
        <v>52</v>
      </c>
    </row>
    <row r="30" spans="1:21" ht="14.25" customHeight="1" x14ac:dyDescent="0.45">
      <c r="A30" s="15" t="s">
        <v>75</v>
      </c>
      <c r="B30" s="6">
        <v>42</v>
      </c>
      <c r="C30" s="6">
        <v>73</v>
      </c>
      <c r="D30" s="6">
        <v>41</v>
      </c>
      <c r="E30" s="6">
        <v>37</v>
      </c>
      <c r="F30" s="6">
        <v>63</v>
      </c>
      <c r="G30" s="6">
        <v>58</v>
      </c>
      <c r="H30" s="6">
        <v>22</v>
      </c>
      <c r="I30" s="6">
        <v>77</v>
      </c>
      <c r="J30" s="6">
        <v>23</v>
      </c>
      <c r="K30" s="6">
        <v>51</v>
      </c>
      <c r="L30" s="6">
        <v>41</v>
      </c>
      <c r="M30" s="6">
        <v>49</v>
      </c>
      <c r="N30" s="6">
        <v>88</v>
      </c>
      <c r="O30" s="6">
        <v>48</v>
      </c>
      <c r="P30" s="6">
        <v>47</v>
      </c>
      <c r="Q30" s="6">
        <v>58</v>
      </c>
      <c r="R30" s="6">
        <v>49</v>
      </c>
      <c r="S30" s="6">
        <v>87</v>
      </c>
      <c r="T30" s="6">
        <v>47</v>
      </c>
      <c r="U30" s="6">
        <v>46</v>
      </c>
    </row>
    <row r="31" spans="1:21" ht="14.25" customHeight="1" x14ac:dyDescent="0.45">
      <c r="A31" s="15" t="s">
        <v>76</v>
      </c>
      <c r="B31" s="6">
        <v>58</v>
      </c>
      <c r="C31" s="6">
        <v>50</v>
      </c>
      <c r="D31" s="6">
        <v>31</v>
      </c>
      <c r="E31" s="6">
        <v>49</v>
      </c>
      <c r="F31" s="6">
        <v>53</v>
      </c>
      <c r="G31" s="6">
        <v>74</v>
      </c>
      <c r="H31" s="6">
        <v>41</v>
      </c>
      <c r="I31" s="6">
        <v>60</v>
      </c>
      <c r="J31" s="6">
        <v>33</v>
      </c>
      <c r="K31" s="6">
        <v>66</v>
      </c>
      <c r="L31" s="6">
        <v>40</v>
      </c>
      <c r="M31" s="6">
        <v>50</v>
      </c>
      <c r="N31" s="6">
        <v>47</v>
      </c>
      <c r="O31" s="6">
        <v>74</v>
      </c>
      <c r="P31" s="6">
        <v>39</v>
      </c>
      <c r="Q31" s="6">
        <v>38</v>
      </c>
      <c r="R31" s="6">
        <v>54</v>
      </c>
      <c r="S31" s="6">
        <v>82</v>
      </c>
      <c r="T31" s="6">
        <v>50</v>
      </c>
      <c r="U31" s="6">
        <v>59</v>
      </c>
    </row>
    <row r="32" spans="1:21" ht="14.25" customHeight="1" x14ac:dyDescent="0.45">
      <c r="A32" s="15" t="s">
        <v>77</v>
      </c>
      <c r="B32" s="6">
        <v>50</v>
      </c>
      <c r="C32" s="6">
        <v>51</v>
      </c>
      <c r="D32" s="6">
        <v>38</v>
      </c>
      <c r="E32" s="6">
        <v>44</v>
      </c>
      <c r="F32" s="6">
        <v>50</v>
      </c>
      <c r="G32" s="6">
        <v>60</v>
      </c>
      <c r="H32" s="6">
        <v>32</v>
      </c>
      <c r="I32" s="6">
        <v>65</v>
      </c>
      <c r="J32" s="6">
        <v>30</v>
      </c>
      <c r="K32" s="6">
        <v>43</v>
      </c>
      <c r="L32" s="6">
        <v>22</v>
      </c>
      <c r="M32" s="6">
        <v>56</v>
      </c>
      <c r="N32" s="6">
        <v>68</v>
      </c>
      <c r="O32" s="6">
        <v>98</v>
      </c>
      <c r="P32" s="6">
        <v>29</v>
      </c>
      <c r="Q32" s="6">
        <v>48</v>
      </c>
      <c r="R32" s="6">
        <v>53</v>
      </c>
      <c r="S32" s="6">
        <v>86</v>
      </c>
      <c r="T32" s="6">
        <v>48</v>
      </c>
      <c r="U32" s="6">
        <v>30</v>
      </c>
    </row>
    <row r="33" spans="1:21" ht="14.25" customHeight="1" x14ac:dyDescent="0.45">
      <c r="A33" s="15" t="s">
        <v>78</v>
      </c>
      <c r="B33" s="6">
        <v>41</v>
      </c>
      <c r="C33" s="6">
        <v>29</v>
      </c>
      <c r="D33" s="6">
        <v>23</v>
      </c>
      <c r="E33" s="6">
        <v>29</v>
      </c>
      <c r="F33" s="6">
        <v>39</v>
      </c>
      <c r="G33" s="6">
        <v>51</v>
      </c>
      <c r="H33" s="6">
        <v>20</v>
      </c>
      <c r="I33" s="6">
        <v>50</v>
      </c>
      <c r="J33" s="6">
        <v>22</v>
      </c>
      <c r="K33" s="6">
        <v>15</v>
      </c>
      <c r="L33" s="6">
        <v>19</v>
      </c>
      <c r="M33" s="6">
        <v>28</v>
      </c>
      <c r="N33" s="6">
        <v>40</v>
      </c>
      <c r="O33" s="6">
        <v>55</v>
      </c>
      <c r="P33" s="6">
        <v>21</v>
      </c>
      <c r="Q33" s="6">
        <v>27</v>
      </c>
      <c r="R33" s="6">
        <v>36</v>
      </c>
      <c r="S33" s="6">
        <v>68</v>
      </c>
      <c r="T33" s="6">
        <v>29</v>
      </c>
      <c r="U33" s="6">
        <v>18</v>
      </c>
    </row>
    <row r="34" spans="1:21" ht="14.25" customHeight="1" x14ac:dyDescent="0.45">
      <c r="A34" s="15" t="s">
        <v>79</v>
      </c>
      <c r="B34" s="6">
        <v>71</v>
      </c>
      <c r="C34" s="6">
        <v>67</v>
      </c>
      <c r="D34" s="6">
        <v>38</v>
      </c>
      <c r="E34" s="6">
        <v>50</v>
      </c>
      <c r="F34" s="6">
        <v>47</v>
      </c>
      <c r="G34" s="6">
        <v>67</v>
      </c>
      <c r="H34" s="6">
        <v>46</v>
      </c>
      <c r="I34" s="6">
        <v>66</v>
      </c>
      <c r="J34" s="6">
        <v>48</v>
      </c>
      <c r="K34" s="6">
        <v>72</v>
      </c>
      <c r="L34" s="6">
        <v>27</v>
      </c>
      <c r="M34" s="6">
        <v>58</v>
      </c>
      <c r="N34" s="6">
        <v>71</v>
      </c>
      <c r="O34" s="6">
        <v>93</v>
      </c>
      <c r="P34" s="6">
        <v>36</v>
      </c>
      <c r="Q34" s="6">
        <v>48</v>
      </c>
      <c r="R34" s="6">
        <v>55</v>
      </c>
      <c r="S34" s="6">
        <v>89</v>
      </c>
      <c r="T34" s="6">
        <v>46</v>
      </c>
      <c r="U34" s="6">
        <v>77</v>
      </c>
    </row>
    <row r="35" spans="1:21" ht="14.25" customHeight="1" x14ac:dyDescent="0.45">
      <c r="A35" s="15" t="s">
        <v>80</v>
      </c>
      <c r="B35" s="6">
        <v>33</v>
      </c>
      <c r="C35" s="6">
        <v>26</v>
      </c>
      <c r="D35" s="6">
        <v>16</v>
      </c>
      <c r="E35" s="6">
        <v>33</v>
      </c>
      <c r="F35" s="6">
        <v>22</v>
      </c>
      <c r="G35" s="6">
        <v>31</v>
      </c>
      <c r="H35" s="6">
        <v>25</v>
      </c>
      <c r="I35" s="6">
        <v>35</v>
      </c>
      <c r="J35" s="6">
        <v>12</v>
      </c>
      <c r="K35" s="6">
        <v>19</v>
      </c>
      <c r="L35" s="6">
        <v>25</v>
      </c>
      <c r="M35" s="6">
        <v>18</v>
      </c>
      <c r="N35" s="6">
        <v>40</v>
      </c>
      <c r="O35" s="6">
        <v>65</v>
      </c>
      <c r="P35" s="6">
        <v>18</v>
      </c>
      <c r="Q35" s="6">
        <v>28</v>
      </c>
      <c r="R35" s="6">
        <v>41</v>
      </c>
      <c r="S35" s="6">
        <v>65</v>
      </c>
      <c r="T35" s="6">
        <v>32</v>
      </c>
      <c r="U35" s="6">
        <v>6</v>
      </c>
    </row>
    <row r="36" spans="1:21" ht="14.25" customHeight="1" x14ac:dyDescent="0.45">
      <c r="A36" s="15" t="s">
        <v>81</v>
      </c>
      <c r="B36" s="6">
        <v>30</v>
      </c>
      <c r="C36" s="6">
        <v>20</v>
      </c>
      <c r="D36" s="6">
        <v>11</v>
      </c>
      <c r="E36" s="6">
        <v>30</v>
      </c>
      <c r="F36" s="6">
        <v>26</v>
      </c>
      <c r="G36" s="6">
        <v>28</v>
      </c>
      <c r="H36" s="6">
        <v>15</v>
      </c>
      <c r="I36" s="6">
        <v>46</v>
      </c>
      <c r="J36" s="6">
        <v>11</v>
      </c>
      <c r="K36" s="6">
        <v>29</v>
      </c>
      <c r="L36" s="6">
        <v>21</v>
      </c>
      <c r="M36" s="6">
        <v>14</v>
      </c>
      <c r="N36" s="6">
        <v>37</v>
      </c>
      <c r="O36" s="6">
        <v>34</v>
      </c>
      <c r="P36" s="6">
        <v>22</v>
      </c>
      <c r="Q36" s="6">
        <v>22</v>
      </c>
      <c r="R36" s="6">
        <v>35</v>
      </c>
      <c r="S36" s="6">
        <v>66</v>
      </c>
      <c r="T36" s="6">
        <v>16</v>
      </c>
      <c r="U36" s="6">
        <v>12</v>
      </c>
    </row>
    <row r="39" spans="1:21" ht="21.75" customHeight="1" x14ac:dyDescent="0.5">
      <c r="A39" s="4" t="s">
        <v>115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4.25" customHeight="1" x14ac:dyDescent="0.45">
      <c r="A40" s="62" t="s">
        <v>116</v>
      </c>
      <c r="B40" s="60" t="s">
        <v>94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spans="1:21" ht="14.25" customHeight="1" x14ac:dyDescent="0.45">
      <c r="A41" s="62"/>
      <c r="B41" s="1" t="s">
        <v>95</v>
      </c>
      <c r="C41" s="1" t="s">
        <v>96</v>
      </c>
      <c r="D41" s="1" t="s">
        <v>97</v>
      </c>
      <c r="E41" s="1" t="s">
        <v>98</v>
      </c>
      <c r="F41" s="1" t="s">
        <v>99</v>
      </c>
      <c r="G41" s="1" t="s">
        <v>100</v>
      </c>
      <c r="H41" s="1" t="s">
        <v>101</v>
      </c>
      <c r="I41" s="1" t="s">
        <v>102</v>
      </c>
      <c r="J41" s="1" t="s">
        <v>103</v>
      </c>
      <c r="K41" s="1" t="s">
        <v>104</v>
      </c>
      <c r="L41" s="1" t="s">
        <v>105</v>
      </c>
      <c r="M41" s="1" t="s">
        <v>106</v>
      </c>
      <c r="N41" s="1" t="s">
        <v>107</v>
      </c>
      <c r="O41" s="1" t="s">
        <v>108</v>
      </c>
      <c r="P41" s="1" t="s">
        <v>109</v>
      </c>
      <c r="Q41" s="1" t="s">
        <v>110</v>
      </c>
      <c r="R41" s="1" t="s">
        <v>111</v>
      </c>
      <c r="S41" s="1" t="s">
        <v>112</v>
      </c>
      <c r="T41" s="1" t="s">
        <v>113</v>
      </c>
      <c r="U41" s="1" t="s">
        <v>114</v>
      </c>
    </row>
    <row r="42" spans="1:21" ht="14.25" customHeight="1" x14ac:dyDescent="0.45">
      <c r="A42" s="1" t="s">
        <v>41</v>
      </c>
      <c r="B42" s="16">
        <f>'Respondent 1-5 regression'!B19</f>
        <v>-10.6666666666667</v>
      </c>
      <c r="C42" s="16">
        <f>'Respondent 1-5 regression'!B45</f>
        <v>-40</v>
      </c>
      <c r="D42" s="16">
        <f>'Respondent 1-5 regression'!B71</f>
        <v>-14.3333333333333</v>
      </c>
      <c r="E42" s="16">
        <f>'Respondent 1-5 regression'!B97</f>
        <v>-3</v>
      </c>
      <c r="F42" s="16">
        <f>'Respondent 1-5 regression'!B123</f>
        <v>-14.3333333333333</v>
      </c>
      <c r="G42" s="16">
        <f>'Respondent 6-10 regression'!B19</f>
        <v>-7</v>
      </c>
      <c r="H42" s="16">
        <f>'Respondent 6-10 regression'!B45</f>
        <v>-4.0000000000000098</v>
      </c>
      <c r="I42" s="16">
        <f>'Respondent 6-10 regression'!B71</f>
        <v>-25</v>
      </c>
      <c r="J42" s="16">
        <f>'Respondent 6-10 regression'!B97</f>
        <v>-5.6666666666666696</v>
      </c>
      <c r="K42" s="16">
        <f>'Respondent 6-10 regression'!B123</f>
        <v>-15.3333333333334</v>
      </c>
      <c r="L42" s="16">
        <f>'Respondent 11-15 regression'!B19</f>
        <v>-9.3333333333333393</v>
      </c>
      <c r="M42" s="16">
        <f>'Respondent 11-15 regression'!B45</f>
        <v>-6.3333333333333401</v>
      </c>
      <c r="N42" s="16">
        <f>'Respondent 11-15 regression'!B71</f>
        <v>-29.6666666666667</v>
      </c>
      <c r="O42" s="16">
        <f>'Respondent 11-15 regression'!B97</f>
        <v>-5.0000000000000098</v>
      </c>
      <c r="P42" s="16">
        <f>'Respondent 11-15 regression'!B123</f>
        <v>-19.3333333333334</v>
      </c>
      <c r="Q42" s="16">
        <f>'Respondent 16-20 regressions'!B19</f>
        <v>-23.3333333333333</v>
      </c>
      <c r="R42" s="16">
        <f>'Respondent 16-20 regressions'!B45</f>
        <v>-8.3333333333333393</v>
      </c>
      <c r="S42" s="16">
        <f>'Respondent 16-20 regressions'!B71</f>
        <v>-10</v>
      </c>
      <c r="T42" s="16">
        <f>'Respondent 16-20 regressions'!B97</f>
        <v>-18.6666666666667</v>
      </c>
      <c r="U42" s="16">
        <f>'Respondent 16-20 regressions'!B123</f>
        <v>-28</v>
      </c>
    </row>
    <row r="43" spans="1:21" ht="14.25" customHeight="1" x14ac:dyDescent="0.45">
      <c r="A43" s="1" t="s">
        <v>42</v>
      </c>
      <c r="B43" s="16">
        <f>'Respondent 1-5 regression'!B20</f>
        <v>-15.6666666666667</v>
      </c>
      <c r="C43" s="16">
        <f>'Respondent 1-5 regression'!B46</f>
        <v>-45.6666666666667</v>
      </c>
      <c r="D43" s="16">
        <f>'Respondent 1-5 regression'!B72</f>
        <v>-23.3333333333333</v>
      </c>
      <c r="E43" s="16">
        <f>'Respondent 1-5 regression'!B98</f>
        <v>-6</v>
      </c>
      <c r="F43" s="16">
        <f>'Respondent 1-5 regression'!B124</f>
        <v>-30</v>
      </c>
      <c r="G43" s="16">
        <f>'Respondent 6-10 regression'!B20</f>
        <v>-26.6666666666667</v>
      </c>
      <c r="H43" s="16">
        <f>'Respondent 6-10 regression'!B46</f>
        <v>-6.3333333333333401</v>
      </c>
      <c r="I43" s="16">
        <f>'Respondent 6-10 regression'!B72</f>
        <v>-34.3333333333333</v>
      </c>
      <c r="J43" s="16">
        <f>'Respondent 6-10 regression'!B98</f>
        <v>-10.3333333333333</v>
      </c>
      <c r="K43" s="16">
        <f>'Respondent 6-10 regression'!B124</f>
        <v>-16.6666666666667</v>
      </c>
      <c r="L43" s="16">
        <f>'Respondent 11-15 regression'!B20</f>
        <v>-12</v>
      </c>
      <c r="M43" s="16">
        <f>'Respondent 11-15 regression'!B46</f>
        <v>-21</v>
      </c>
      <c r="N43" s="16">
        <f>'Respondent 11-15 regression'!B72</f>
        <v>-32</v>
      </c>
      <c r="O43" s="16">
        <f>'Respondent 11-15 regression'!B98</f>
        <v>-16.6666666666667</v>
      </c>
      <c r="P43" s="16">
        <f>'Respondent 11-15 regression'!B124</f>
        <v>-23.6666666666667</v>
      </c>
      <c r="Q43" s="16">
        <f>'Respondent 16-20 regressions'!B20</f>
        <v>-28.3333333333333</v>
      </c>
      <c r="R43" s="16">
        <f>'Respondent 16-20 regressions'!B46</f>
        <v>-12.3333333333333</v>
      </c>
      <c r="S43" s="16">
        <f>'Respondent 16-20 regressions'!B72</f>
        <v>-15.3333333333333</v>
      </c>
      <c r="T43" s="16">
        <f>'Respondent 16-20 regressions'!B98</f>
        <v>-29.6666666666667</v>
      </c>
      <c r="U43" s="16">
        <f>'Respondent 16-20 regressions'!B124</f>
        <v>-32</v>
      </c>
    </row>
    <row r="44" spans="1:21" ht="14.25" customHeight="1" x14ac:dyDescent="0.45">
      <c r="A44" s="1" t="s">
        <v>43</v>
      </c>
      <c r="B44" s="16">
        <f>'Respondent 1-5 regression'!B21</f>
        <v>-21.6666666666667</v>
      </c>
      <c r="C44" s="16">
        <f>'Respondent 1-5 regression'!B47</f>
        <v>-18.3333333333333</v>
      </c>
      <c r="D44" s="16">
        <f>'Respondent 1-5 regression'!B73</f>
        <v>-7</v>
      </c>
      <c r="E44" s="16">
        <f>'Respondent 1-5 regression'!B99</f>
        <v>-8.6666666666666696</v>
      </c>
      <c r="F44" s="16">
        <f>'Respondent 1-5 regression'!B125</f>
        <v>-12</v>
      </c>
      <c r="G44" s="16">
        <f>'Respondent 6-10 regression'!B21</f>
        <v>-24.6666666666667</v>
      </c>
      <c r="H44" s="16">
        <f>'Respondent 6-10 regression'!B47</f>
        <v>-15</v>
      </c>
      <c r="I44" s="16">
        <f>'Respondent 6-10 regression'!B73</f>
        <v>-6.3333333333333401</v>
      </c>
      <c r="J44" s="16">
        <f>'Respondent 6-10 regression'!B99</f>
        <v>-19.3333333333333</v>
      </c>
      <c r="K44" s="16">
        <f>'Respondent 6-10 regression'!B125</f>
        <v>-30.3333333333333</v>
      </c>
      <c r="L44" s="16">
        <f>'Respondent 11-15 regression'!B21</f>
        <v>-9.3333333333333304</v>
      </c>
      <c r="M44" s="16">
        <f>'Respondent 11-15 regression'!B47</f>
        <v>-14.6666666666667</v>
      </c>
      <c r="N44" s="16">
        <f>'Respondent 11-15 regression'!B73</f>
        <v>-4</v>
      </c>
      <c r="O44" s="16">
        <f>'Respondent 11-15 regression'!B99</f>
        <v>-0.66666666666668395</v>
      </c>
      <c r="P44" s="16">
        <f>'Respondent 11-15 regression'!B125</f>
        <v>-11.3333333333333</v>
      </c>
      <c r="Q44" s="16">
        <f>'Respondent 16-20 regressions'!B21</f>
        <v>-4.3333333333333401</v>
      </c>
      <c r="R44" s="16">
        <f>'Respondent 16-20 regressions'!B47</f>
        <v>-5.3333333333333401</v>
      </c>
      <c r="S44" s="16">
        <f>'Respondent 16-20 regressions'!B73</f>
        <v>-7</v>
      </c>
      <c r="T44" s="16">
        <f>'Respondent 16-20 regressions'!B99</f>
        <v>-6.0000000000000098</v>
      </c>
      <c r="U44" s="16">
        <f>'Respondent 16-20 regressions'!B125</f>
        <v>-47</v>
      </c>
    </row>
    <row r="45" spans="1:21" ht="14.25" customHeight="1" x14ac:dyDescent="0.45">
      <c r="A45" s="1" t="s">
        <v>44</v>
      </c>
      <c r="B45" s="16">
        <f>'Respondent 1-5 regression'!B22</f>
        <v>-31.6666666666667</v>
      </c>
      <c r="C45" s="16">
        <f>'Respondent 1-5 regression'!B48</f>
        <v>-30.3333333333333</v>
      </c>
      <c r="D45" s="16">
        <f>'Respondent 1-5 regression'!B74</f>
        <v>-14.6666666666667</v>
      </c>
      <c r="E45" s="16">
        <f>'Respondent 1-5 regression'!B100</f>
        <v>-17.3333333333333</v>
      </c>
      <c r="F45" s="16">
        <f>'Respondent 1-5 regression'!B126</f>
        <v>-12.3333333333333</v>
      </c>
      <c r="G45" s="16">
        <f>'Respondent 6-10 regression'!B22</f>
        <v>-30</v>
      </c>
      <c r="H45" s="16">
        <f>'Respondent 6-10 regression'!B48</f>
        <v>-26.3333333333333</v>
      </c>
      <c r="I45" s="16">
        <f>'Respondent 6-10 regression'!B74</f>
        <v>-12</v>
      </c>
      <c r="J45" s="16">
        <f>'Respondent 6-10 regression'!B100</f>
        <v>-24.6666666666667</v>
      </c>
      <c r="K45" s="16">
        <f>'Respondent 6-10 regression'!B126</f>
        <v>-36.6666666666667</v>
      </c>
      <c r="L45" s="16">
        <f>'Respondent 11-15 regression'!B22</f>
        <v>-8</v>
      </c>
      <c r="M45" s="16">
        <f>'Respondent 11-15 regression'!B48</f>
        <v>-24.6666666666667</v>
      </c>
      <c r="N45" s="16">
        <f>'Respondent 11-15 regression'!B74</f>
        <v>-10.6666666666667</v>
      </c>
      <c r="O45" s="16">
        <f>'Respondent 11-15 regression'!B100</f>
        <v>-42</v>
      </c>
      <c r="P45" s="16">
        <f>'Respondent 11-15 regression'!B126</f>
        <v>-12.6666666666667</v>
      </c>
      <c r="Q45" s="16">
        <f>'Respondent 16-20 regressions'!B22</f>
        <v>-14.3333333333333</v>
      </c>
      <c r="R45" s="16">
        <f>'Respondent 16-20 regressions'!B48</f>
        <v>-16.3333333333333</v>
      </c>
      <c r="S45" s="16">
        <f>'Respondent 16-20 regressions'!B74</f>
        <v>-13.3333333333333</v>
      </c>
      <c r="T45" s="16">
        <f>'Respondent 16-20 regressions'!B100</f>
        <v>-24.3333333333333</v>
      </c>
      <c r="U45" s="16">
        <f>'Respondent 16-20 regressions'!B126</f>
        <v>-51</v>
      </c>
    </row>
    <row r="46" spans="1:21" ht="14.25" customHeight="1" x14ac:dyDescent="0.45">
      <c r="A46" s="1" t="s">
        <v>45</v>
      </c>
      <c r="B46" s="16">
        <f>'Respondent 1-5 regression'!B23</f>
        <v>-10.8333333333333</v>
      </c>
      <c r="C46" s="16">
        <f>'Respondent 1-5 regression'!B49</f>
        <v>-7.6666666666666599</v>
      </c>
      <c r="D46" s="16">
        <f>'Respondent 1-5 regression'!B75</f>
        <v>-4.6666666666666599</v>
      </c>
      <c r="E46" s="16">
        <f>'Respondent 1-5 regression'!B101</f>
        <v>-1.5</v>
      </c>
      <c r="F46" s="16">
        <f>'Respondent 1-5 regression'!B127</f>
        <v>-1.3333333333333299</v>
      </c>
      <c r="G46" s="16">
        <f>'Respondent 6-10 regression'!B23</f>
        <v>-4.6666666666666599</v>
      </c>
      <c r="H46" s="16">
        <f>'Respondent 6-10 regression'!B49</f>
        <v>-3.3333333333333299</v>
      </c>
      <c r="I46" s="16">
        <f>'Respondent 6-10 regression'!B75</f>
        <v>-9.3333333333333197</v>
      </c>
      <c r="J46" s="16">
        <f>'Respondent 6-10 regression'!B101</f>
        <v>-8.9999999999999893</v>
      </c>
      <c r="K46" s="16">
        <f>'Respondent 6-10 regression'!B127</f>
        <v>-0.999999999999994</v>
      </c>
      <c r="L46" s="16">
        <f>'Respondent 11-15 regression'!B23</f>
        <v>9.1666666666666696</v>
      </c>
      <c r="M46" s="16">
        <f>'Respondent 11-15 regression'!B49</f>
        <v>-4.3333333333333304</v>
      </c>
      <c r="N46" s="16">
        <f>'Respondent 11-15 regression'!B75</f>
        <v>-3.6666666666666701</v>
      </c>
      <c r="O46" s="16">
        <f>'Respondent 11-15 regression'!B101</f>
        <v>-16.6666666666667</v>
      </c>
      <c r="P46" s="16">
        <f>'Respondent 11-15 regression'!B127</f>
        <v>2.7890444774736801E-31</v>
      </c>
      <c r="Q46" s="16">
        <f>'Respondent 16-20 regressions'!B23</f>
        <v>-3.6666666666666701</v>
      </c>
      <c r="R46" s="16">
        <f>'Respondent 16-20 regressions'!B49</f>
        <v>-1.6666666666666701</v>
      </c>
      <c r="S46" s="16">
        <f>'Respondent 16-20 regressions'!B75</f>
        <v>-3.3333333333333299</v>
      </c>
      <c r="T46" s="16">
        <f>'Respondent 16-20 regressions'!B101</f>
        <v>-2.8333333333333299</v>
      </c>
      <c r="U46" s="16">
        <f>'Respondent 16-20 regressions'!B127</f>
        <v>-10</v>
      </c>
    </row>
    <row r="47" spans="1:21" ht="14.25" customHeight="1" x14ac:dyDescent="0.45">
      <c r="A47" s="1" t="s">
        <v>46</v>
      </c>
      <c r="B47" s="16">
        <f>'Respondent 1-5 regression'!B24</f>
        <v>-5</v>
      </c>
      <c r="C47" s="16">
        <f>'Respondent 1-5 regression'!B50</f>
        <v>-13.3333333333333</v>
      </c>
      <c r="D47" s="16">
        <f>'Respondent 1-5 regression'!B76</f>
        <v>-10.3333333333333</v>
      </c>
      <c r="E47" s="16">
        <f>'Respondent 1-5 regression'!B102</f>
        <v>-2.3333333333333299</v>
      </c>
      <c r="F47" s="16">
        <f>'Respondent 1-5 regression'!B128</f>
        <v>-8</v>
      </c>
      <c r="G47" s="16">
        <f>'Respondent 6-10 regression'!B24</f>
        <v>-7</v>
      </c>
      <c r="H47" s="16">
        <f>'Respondent 6-10 regression'!B50</f>
        <v>-3.3333333333333401</v>
      </c>
      <c r="I47" s="16">
        <f>'Respondent 6-10 regression'!B76</f>
        <v>-4</v>
      </c>
      <c r="J47" s="16">
        <f>'Respondent 6-10 regression'!B102</f>
        <v>-9</v>
      </c>
      <c r="K47" s="16">
        <f>'Respondent 6-10 regression'!B128</f>
        <v>-6.3333333333333304</v>
      </c>
      <c r="L47" s="16">
        <f>'Respondent 11-15 regression'!B24</f>
        <v>0.33333333333333598</v>
      </c>
      <c r="M47" s="16">
        <f>'Respondent 11-15 regression'!B50</f>
        <v>-17.3333333333333</v>
      </c>
      <c r="N47" s="16">
        <f>'Respondent 11-15 regression'!B76</f>
        <v>-22</v>
      </c>
      <c r="O47" s="16">
        <f>'Respondent 11-15 regression'!B102</f>
        <v>-11</v>
      </c>
      <c r="P47" s="16">
        <f>'Respondent 11-15 regression'!B128</f>
        <v>-1.3333333333333399</v>
      </c>
      <c r="Q47" s="16">
        <f>'Respondent 16-20 regressions'!B24</f>
        <v>-11</v>
      </c>
      <c r="R47" s="16">
        <f>'Respondent 16-20 regressions'!B50</f>
        <v>-3</v>
      </c>
      <c r="S47" s="16">
        <f>'Respondent 16-20 regressions'!B76</f>
        <v>-8.3333333333333304</v>
      </c>
      <c r="T47" s="16">
        <f>'Respondent 16-20 regressions'!B102</f>
        <v>-2.6666666666666701</v>
      </c>
      <c r="U47" s="16">
        <f>'Respondent 16-20 regressions'!B128</f>
        <v>-10</v>
      </c>
    </row>
    <row r="48" spans="1:21" ht="14.25" customHeight="1" x14ac:dyDescent="0.45">
      <c r="A48" s="1" t="s">
        <v>47</v>
      </c>
      <c r="B48" s="16">
        <f>'Respondent 1-5 regression'!B25</f>
        <v>-3.3333333333333401</v>
      </c>
      <c r="C48" s="16">
        <f>'Respondent 1-5 regression'!B51</f>
        <v>-13.3333333333333</v>
      </c>
      <c r="D48" s="16">
        <f>'Respondent 1-5 regression'!B77</f>
        <v>-9.3333333333333393</v>
      </c>
      <c r="E48" s="16">
        <f>'Respondent 1-5 regression'!B103</f>
        <v>-6.6666666666666696</v>
      </c>
      <c r="F48" s="16">
        <f>'Respondent 1-5 regression'!B129</f>
        <v>-11.3333333333333</v>
      </c>
      <c r="G48" s="16">
        <f>'Respondent 6-10 regression'!B25</f>
        <v>-5.6666666666666696</v>
      </c>
      <c r="H48" s="16">
        <f>'Respondent 6-10 regression'!B51</f>
        <v>-2</v>
      </c>
      <c r="I48" s="16">
        <f>'Respondent 6-10 regression'!B77</f>
        <v>-13.3333333333333</v>
      </c>
      <c r="J48" s="16">
        <f>'Respondent 6-10 regression'!B103</f>
        <v>-6</v>
      </c>
      <c r="K48" s="16">
        <f>'Respondent 6-10 regression'!B129</f>
        <v>-21.6666666666667</v>
      </c>
      <c r="L48" s="16">
        <f>'Respondent 11-15 regression'!B25</f>
        <v>-2.6666666666666701</v>
      </c>
      <c r="M48" s="16">
        <f>'Respondent 11-15 regression'!B51</f>
        <v>-20</v>
      </c>
      <c r="N48" s="16">
        <f>'Respondent 11-15 regression'!B77</f>
        <v>-22.6666666666667</v>
      </c>
      <c r="O48" s="16">
        <f>'Respondent 11-15 regression'!B103</f>
        <v>-7.6666666666666803</v>
      </c>
      <c r="P48" s="16">
        <f>'Respondent 11-15 regression'!B129</f>
        <v>-6.6666666666666696</v>
      </c>
      <c r="Q48" s="16">
        <f>'Respondent 16-20 regressions'!B25</f>
        <v>-11.6666666666667</v>
      </c>
      <c r="R48" s="16">
        <f>'Respondent 16-20 regressions'!B51</f>
        <v>-6.6666666666666696</v>
      </c>
      <c r="S48" s="16">
        <f>'Respondent 16-20 regressions'!B77</f>
        <v>-13</v>
      </c>
      <c r="T48" s="16">
        <f>'Respondent 16-20 regressions'!B103</f>
        <v>-3.6666666666666798</v>
      </c>
      <c r="U48" s="16">
        <f>'Respondent 16-20 regressions'!B129</f>
        <v>-12</v>
      </c>
    </row>
    <row r="51" spans="1:22" ht="21.75" customHeight="1" x14ac:dyDescent="0.5">
      <c r="A51" s="4" t="s">
        <v>117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2" ht="14.25" customHeight="1" x14ac:dyDescent="0.45">
      <c r="A52" s="62" t="s">
        <v>116</v>
      </c>
      <c r="B52" s="60" t="s">
        <v>94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</row>
    <row r="53" spans="1:22" ht="14.25" customHeight="1" x14ac:dyDescent="0.45">
      <c r="A53" s="62"/>
      <c r="B53" s="1" t="s">
        <v>95</v>
      </c>
      <c r="C53" s="1" t="s">
        <v>96</v>
      </c>
      <c r="D53" s="1" t="s">
        <v>97</v>
      </c>
      <c r="E53" s="1" t="s">
        <v>98</v>
      </c>
      <c r="F53" s="1" t="s">
        <v>99</v>
      </c>
      <c r="G53" s="1" t="s">
        <v>100</v>
      </c>
      <c r="H53" s="1" t="s">
        <v>101</v>
      </c>
      <c r="I53" s="1" t="s">
        <v>102</v>
      </c>
      <c r="J53" s="1" t="s">
        <v>103</v>
      </c>
      <c r="K53" s="1" t="s">
        <v>104</v>
      </c>
      <c r="L53" s="1" t="s">
        <v>105</v>
      </c>
      <c r="M53" s="1" t="s">
        <v>106</v>
      </c>
      <c r="N53" s="1" t="s">
        <v>107</v>
      </c>
      <c r="O53" s="1" t="s">
        <v>108</v>
      </c>
      <c r="P53" s="1" t="s">
        <v>109</v>
      </c>
      <c r="Q53" s="1" t="s">
        <v>110</v>
      </c>
      <c r="R53" s="1" t="s">
        <v>111</v>
      </c>
      <c r="S53" s="1" t="s">
        <v>112</v>
      </c>
      <c r="T53" s="1" t="s">
        <v>113</v>
      </c>
      <c r="U53" s="1" t="s">
        <v>114</v>
      </c>
    </row>
    <row r="54" spans="1:22" ht="14.25" customHeight="1" x14ac:dyDescent="0.45">
      <c r="A54" s="1" t="s">
        <v>5</v>
      </c>
      <c r="B54" s="16">
        <f>MAX(0,B42:B43)-MIN(0,B42:B43)</f>
        <v>15.6666666666667</v>
      </c>
      <c r="C54" s="16">
        <f t="shared" ref="C54:U54" si="0">MAX(0,C42:C43)-MIN(0,C42:C43)</f>
        <v>45.6666666666667</v>
      </c>
      <c r="D54" s="16">
        <f t="shared" si="0"/>
        <v>23.3333333333333</v>
      </c>
      <c r="E54" s="16">
        <f t="shared" si="0"/>
        <v>6</v>
      </c>
      <c r="F54" s="16">
        <f t="shared" si="0"/>
        <v>30</v>
      </c>
      <c r="G54" s="16">
        <f t="shared" si="0"/>
        <v>26.6666666666667</v>
      </c>
      <c r="H54" s="16">
        <f t="shared" si="0"/>
        <v>6.3333333333333401</v>
      </c>
      <c r="I54" s="16">
        <f t="shared" si="0"/>
        <v>34.3333333333333</v>
      </c>
      <c r="J54" s="16">
        <f t="shared" si="0"/>
        <v>10.3333333333333</v>
      </c>
      <c r="K54" s="16">
        <f t="shared" si="0"/>
        <v>16.6666666666667</v>
      </c>
      <c r="L54" s="16">
        <f t="shared" si="0"/>
        <v>12</v>
      </c>
      <c r="M54" s="16">
        <f t="shared" si="0"/>
        <v>21</v>
      </c>
      <c r="N54" s="16">
        <f t="shared" si="0"/>
        <v>32</v>
      </c>
      <c r="O54" s="16">
        <f t="shared" si="0"/>
        <v>16.6666666666667</v>
      </c>
      <c r="P54" s="16">
        <f t="shared" si="0"/>
        <v>23.6666666666667</v>
      </c>
      <c r="Q54" s="16">
        <f t="shared" si="0"/>
        <v>28.3333333333333</v>
      </c>
      <c r="R54" s="16">
        <f t="shared" si="0"/>
        <v>12.3333333333333</v>
      </c>
      <c r="S54" s="16">
        <f t="shared" si="0"/>
        <v>15.3333333333333</v>
      </c>
      <c r="T54" s="16">
        <f t="shared" si="0"/>
        <v>29.6666666666667</v>
      </c>
      <c r="U54" s="16">
        <f t="shared" si="0"/>
        <v>32</v>
      </c>
      <c r="V54" s="11"/>
    </row>
    <row r="55" spans="1:22" ht="14.25" customHeight="1" x14ac:dyDescent="0.45">
      <c r="A55" s="1" t="s">
        <v>4</v>
      </c>
      <c r="B55" s="16">
        <f t="shared" ref="B55:U55" si="1">MAX(0,B44:B45)-MIN(0,B44:B45)</f>
        <v>31.6666666666667</v>
      </c>
      <c r="C55" s="16">
        <f t="shared" si="1"/>
        <v>30.3333333333333</v>
      </c>
      <c r="D55" s="16">
        <f t="shared" si="1"/>
        <v>14.6666666666667</v>
      </c>
      <c r="E55" s="16">
        <f t="shared" si="1"/>
        <v>17.3333333333333</v>
      </c>
      <c r="F55" s="16">
        <f t="shared" si="1"/>
        <v>12.3333333333333</v>
      </c>
      <c r="G55" s="16">
        <f t="shared" si="1"/>
        <v>30</v>
      </c>
      <c r="H55" s="16">
        <f t="shared" si="1"/>
        <v>26.3333333333333</v>
      </c>
      <c r="I55" s="16">
        <f t="shared" si="1"/>
        <v>12</v>
      </c>
      <c r="J55" s="16">
        <f t="shared" si="1"/>
        <v>24.6666666666667</v>
      </c>
      <c r="K55" s="16">
        <f t="shared" si="1"/>
        <v>36.6666666666667</v>
      </c>
      <c r="L55" s="16">
        <f t="shared" si="1"/>
        <v>9.3333333333333304</v>
      </c>
      <c r="M55" s="16">
        <f t="shared" si="1"/>
        <v>24.6666666666667</v>
      </c>
      <c r="N55" s="16">
        <f t="shared" si="1"/>
        <v>10.6666666666667</v>
      </c>
      <c r="O55" s="16">
        <f t="shared" si="1"/>
        <v>42</v>
      </c>
      <c r="P55" s="16">
        <f t="shared" si="1"/>
        <v>12.6666666666667</v>
      </c>
      <c r="Q55" s="16">
        <f t="shared" si="1"/>
        <v>14.3333333333333</v>
      </c>
      <c r="R55" s="16">
        <f t="shared" si="1"/>
        <v>16.3333333333333</v>
      </c>
      <c r="S55" s="16">
        <f t="shared" si="1"/>
        <v>13.3333333333333</v>
      </c>
      <c r="T55" s="16">
        <f t="shared" si="1"/>
        <v>24.3333333333333</v>
      </c>
      <c r="U55" s="16">
        <f t="shared" si="1"/>
        <v>51</v>
      </c>
      <c r="V55" s="11"/>
    </row>
    <row r="56" spans="1:22" ht="14.25" customHeight="1" x14ac:dyDescent="0.45">
      <c r="A56" s="1" t="s">
        <v>7</v>
      </c>
      <c r="B56" s="16">
        <f t="shared" ref="B56:U56" si="2">MAX(0,B46)-MIN(0,B46)</f>
        <v>10.8333333333333</v>
      </c>
      <c r="C56" s="16">
        <f t="shared" si="2"/>
        <v>7.6666666666666599</v>
      </c>
      <c r="D56" s="16">
        <f t="shared" si="2"/>
        <v>4.6666666666666599</v>
      </c>
      <c r="E56" s="16">
        <f t="shared" si="2"/>
        <v>1.5</v>
      </c>
      <c r="F56" s="16">
        <f t="shared" si="2"/>
        <v>1.3333333333333299</v>
      </c>
      <c r="G56" s="16">
        <f t="shared" si="2"/>
        <v>4.6666666666666599</v>
      </c>
      <c r="H56" s="16">
        <f t="shared" si="2"/>
        <v>3.3333333333333299</v>
      </c>
      <c r="I56" s="16">
        <f t="shared" si="2"/>
        <v>9.3333333333333197</v>
      </c>
      <c r="J56" s="16">
        <f t="shared" si="2"/>
        <v>8.9999999999999893</v>
      </c>
      <c r="K56" s="16">
        <f t="shared" si="2"/>
        <v>0.999999999999994</v>
      </c>
      <c r="L56" s="16">
        <f t="shared" si="2"/>
        <v>9.1666666666666696</v>
      </c>
      <c r="M56" s="16">
        <f t="shared" si="2"/>
        <v>4.3333333333333304</v>
      </c>
      <c r="N56" s="16">
        <f t="shared" si="2"/>
        <v>3.6666666666666701</v>
      </c>
      <c r="O56" s="16">
        <f t="shared" si="2"/>
        <v>16.6666666666667</v>
      </c>
      <c r="P56" s="16">
        <f t="shared" si="2"/>
        <v>2.7890444774736801E-31</v>
      </c>
      <c r="Q56" s="16">
        <f t="shared" si="2"/>
        <v>3.6666666666666701</v>
      </c>
      <c r="R56" s="16">
        <f t="shared" si="2"/>
        <v>1.6666666666666701</v>
      </c>
      <c r="S56" s="16">
        <f t="shared" si="2"/>
        <v>3.3333333333333299</v>
      </c>
      <c r="T56" s="16">
        <f t="shared" si="2"/>
        <v>2.8333333333333299</v>
      </c>
      <c r="U56" s="16">
        <f t="shared" si="2"/>
        <v>10</v>
      </c>
      <c r="V56" s="11"/>
    </row>
    <row r="57" spans="1:22" ht="14.25" customHeight="1" x14ac:dyDescent="0.45">
      <c r="A57" s="1" t="s">
        <v>6</v>
      </c>
      <c r="B57" s="16">
        <f t="shared" ref="B57:U57" si="3">MAX(0,B47:B48)-MIN(0,B47:B48)</f>
        <v>5</v>
      </c>
      <c r="C57" s="16">
        <f t="shared" si="3"/>
        <v>13.3333333333333</v>
      </c>
      <c r="D57" s="16">
        <f t="shared" si="3"/>
        <v>10.3333333333333</v>
      </c>
      <c r="E57" s="16">
        <f t="shared" si="3"/>
        <v>6.6666666666666696</v>
      </c>
      <c r="F57" s="16">
        <f t="shared" si="3"/>
        <v>11.3333333333333</v>
      </c>
      <c r="G57" s="16">
        <f t="shared" si="3"/>
        <v>7</v>
      </c>
      <c r="H57" s="16">
        <f t="shared" si="3"/>
        <v>3.3333333333333401</v>
      </c>
      <c r="I57" s="16">
        <f t="shared" si="3"/>
        <v>13.3333333333333</v>
      </c>
      <c r="J57" s="16">
        <f t="shared" si="3"/>
        <v>9</v>
      </c>
      <c r="K57" s="16">
        <f t="shared" si="3"/>
        <v>21.6666666666667</v>
      </c>
      <c r="L57" s="16">
        <f t="shared" si="3"/>
        <v>3.0000000000000062</v>
      </c>
      <c r="M57" s="16">
        <f t="shared" si="3"/>
        <v>20</v>
      </c>
      <c r="N57" s="16">
        <f t="shared" si="3"/>
        <v>22.6666666666667</v>
      </c>
      <c r="O57" s="16">
        <f t="shared" si="3"/>
        <v>11</v>
      </c>
      <c r="P57" s="16">
        <f t="shared" si="3"/>
        <v>6.6666666666666696</v>
      </c>
      <c r="Q57" s="16">
        <f t="shared" si="3"/>
        <v>11.6666666666667</v>
      </c>
      <c r="R57" s="16">
        <f t="shared" si="3"/>
        <v>6.6666666666666696</v>
      </c>
      <c r="S57" s="16">
        <f t="shared" si="3"/>
        <v>13</v>
      </c>
      <c r="T57" s="16">
        <f t="shared" si="3"/>
        <v>3.6666666666666798</v>
      </c>
      <c r="U57" s="16">
        <f t="shared" si="3"/>
        <v>12</v>
      </c>
      <c r="V57" s="11"/>
    </row>
    <row r="58" spans="1:22" ht="14.25" customHeight="1" x14ac:dyDescent="0.45">
      <c r="A58" s="9"/>
    </row>
    <row r="61" spans="1:22" ht="21.75" customHeight="1" x14ac:dyDescent="0.5">
      <c r="A61" s="4" t="s">
        <v>118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4.25" customHeight="1" x14ac:dyDescent="0.45">
      <c r="A62" s="62" t="s">
        <v>116</v>
      </c>
      <c r="B62" s="60" t="s">
        <v>94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2"/>
    </row>
    <row r="63" spans="1:22" ht="14.25" customHeight="1" x14ac:dyDescent="0.45">
      <c r="A63" s="62"/>
      <c r="B63" s="1" t="s">
        <v>95</v>
      </c>
      <c r="C63" s="1" t="s">
        <v>96</v>
      </c>
      <c r="D63" s="1" t="s">
        <v>97</v>
      </c>
      <c r="E63" s="1" t="s">
        <v>98</v>
      </c>
      <c r="F63" s="1" t="s">
        <v>99</v>
      </c>
      <c r="G63" s="1" t="s">
        <v>100</v>
      </c>
      <c r="H63" s="1" t="s">
        <v>101</v>
      </c>
      <c r="I63" s="1" t="s">
        <v>102</v>
      </c>
      <c r="J63" s="1" t="s">
        <v>103</v>
      </c>
      <c r="K63" s="1" t="s">
        <v>104</v>
      </c>
      <c r="L63" s="1" t="s">
        <v>105</v>
      </c>
      <c r="M63" s="1" t="s">
        <v>106</v>
      </c>
      <c r="N63" s="1" t="s">
        <v>107</v>
      </c>
      <c r="O63" s="1" t="s">
        <v>108</v>
      </c>
      <c r="P63" s="1" t="s">
        <v>109</v>
      </c>
      <c r="Q63" s="1" t="s">
        <v>110</v>
      </c>
      <c r="R63" s="1" t="s">
        <v>111</v>
      </c>
      <c r="S63" s="1" t="s">
        <v>112</v>
      </c>
      <c r="T63" s="1" t="s">
        <v>113</v>
      </c>
      <c r="U63" s="1" t="s">
        <v>114</v>
      </c>
      <c r="V63" s="2" t="s">
        <v>119</v>
      </c>
    </row>
    <row r="64" spans="1:22" ht="14.25" customHeight="1" x14ac:dyDescent="0.45">
      <c r="A64" s="1" t="s">
        <v>120</v>
      </c>
      <c r="B64" s="17">
        <f>B54/SUM(B54:B57)</f>
        <v>0.24802110817941991</v>
      </c>
      <c r="C64" s="17">
        <f t="shared" ref="C64:U64" si="4">C54/SUM(C54:C57)</f>
        <v>0.4707903780068734</v>
      </c>
      <c r="D64" s="17">
        <f t="shared" si="4"/>
        <v>0.44025157232704376</v>
      </c>
      <c r="E64" s="17">
        <f t="shared" si="4"/>
        <v>0.19047619047619066</v>
      </c>
      <c r="F64" s="17">
        <f t="shared" si="4"/>
        <v>0.54545454545454619</v>
      </c>
      <c r="G64" s="17">
        <f t="shared" si="4"/>
        <v>0.39024390243902474</v>
      </c>
      <c r="H64" s="17">
        <f t="shared" si="4"/>
        <v>0.16101694915254261</v>
      </c>
      <c r="I64" s="17">
        <f t="shared" si="4"/>
        <v>0.49758454106280209</v>
      </c>
      <c r="J64" s="17">
        <f t="shared" si="4"/>
        <v>0.19496855345911893</v>
      </c>
      <c r="K64" s="17">
        <f t="shared" si="4"/>
        <v>0.21929824561403527</v>
      </c>
      <c r="L64" s="17">
        <f t="shared" si="4"/>
        <v>0.35820895522388052</v>
      </c>
      <c r="M64" s="17">
        <f t="shared" si="4"/>
        <v>0.29999999999999988</v>
      </c>
      <c r="N64" s="17">
        <f t="shared" si="4"/>
        <v>0.46376811594202849</v>
      </c>
      <c r="O64" s="17">
        <f t="shared" si="4"/>
        <v>0.19305019305019328</v>
      </c>
      <c r="P64" s="17">
        <f t="shared" si="4"/>
        <v>0.55038759689922467</v>
      </c>
      <c r="Q64" s="17">
        <f t="shared" si="4"/>
        <v>0.48850574712643646</v>
      </c>
      <c r="R64" s="17">
        <f t="shared" si="4"/>
        <v>0.33333333333333293</v>
      </c>
      <c r="S64" s="17">
        <f t="shared" si="4"/>
        <v>0.34074074074074057</v>
      </c>
      <c r="T64" s="17">
        <f t="shared" si="4"/>
        <v>0.4903581267217636</v>
      </c>
      <c r="U64" s="17">
        <f t="shared" si="4"/>
        <v>0.30476190476190479</v>
      </c>
      <c r="V64" s="17">
        <f>AVERAGE(B64:U64)</f>
        <v>0.35906103499855507</v>
      </c>
    </row>
    <row r="65" spans="1:22" ht="14.25" customHeight="1" x14ac:dyDescent="0.45">
      <c r="A65" s="1" t="s">
        <v>121</v>
      </c>
      <c r="B65" s="17">
        <f t="shared" ref="B65:U65" si="5">B55/SUM(B54:B57)</f>
        <v>0.50131926121372061</v>
      </c>
      <c r="C65" s="17">
        <f t="shared" si="5"/>
        <v>0.31271477663230218</v>
      </c>
      <c r="D65" s="17">
        <f t="shared" si="5"/>
        <v>0.2767295597484285</v>
      </c>
      <c r="E65" s="17">
        <f t="shared" si="5"/>
        <v>0.55026455026454968</v>
      </c>
      <c r="F65" s="17">
        <f t="shared" si="5"/>
        <v>0.22424242424242394</v>
      </c>
      <c r="G65" s="17">
        <f t="shared" si="5"/>
        <v>0.43902439024390227</v>
      </c>
      <c r="H65" s="17">
        <f t="shared" si="5"/>
        <v>0.66949152542372825</v>
      </c>
      <c r="I65" s="17">
        <f t="shared" si="5"/>
        <v>0.17391304347826109</v>
      </c>
      <c r="J65" s="17">
        <f t="shared" si="5"/>
        <v>0.46540880503144727</v>
      </c>
      <c r="K65" s="17">
        <f t="shared" si="5"/>
        <v>0.48245614035087708</v>
      </c>
      <c r="L65" s="17">
        <f t="shared" si="5"/>
        <v>0.2786069651741292</v>
      </c>
      <c r="M65" s="17">
        <f t="shared" si="5"/>
        <v>0.35238095238095274</v>
      </c>
      <c r="N65" s="17">
        <f t="shared" si="5"/>
        <v>0.15458937198067665</v>
      </c>
      <c r="O65" s="17">
        <f t="shared" si="5"/>
        <v>0.48648648648648612</v>
      </c>
      <c r="P65" s="17">
        <f t="shared" si="5"/>
        <v>0.29457364341085301</v>
      </c>
      <c r="Q65" s="17">
        <f t="shared" si="5"/>
        <v>0.24712643678160875</v>
      </c>
      <c r="R65" s="17">
        <f t="shared" si="5"/>
        <v>0.44144144144144121</v>
      </c>
      <c r="S65" s="17">
        <f t="shared" si="5"/>
        <v>0.296296296296296</v>
      </c>
      <c r="T65" s="17">
        <f t="shared" si="5"/>
        <v>0.4022038567493107</v>
      </c>
      <c r="U65" s="17">
        <f t="shared" si="5"/>
        <v>0.48571428571428571</v>
      </c>
      <c r="V65" s="17">
        <f>AVERAGE(B65:U65)</f>
        <v>0.37674921065228406</v>
      </c>
    </row>
    <row r="66" spans="1:22" ht="14.25" customHeight="1" x14ac:dyDescent="0.45">
      <c r="A66" s="1" t="s">
        <v>122</v>
      </c>
      <c r="B66" s="17">
        <f t="shared" ref="B66:U66" si="6">B56/SUM(B54:B57)</f>
        <v>0.17150395778364055</v>
      </c>
      <c r="C66" s="17">
        <f t="shared" si="6"/>
        <v>7.9037800687285192E-2</v>
      </c>
      <c r="D66" s="17">
        <f t="shared" si="6"/>
        <v>8.8050314465408744E-2</v>
      </c>
      <c r="E66" s="17">
        <f t="shared" si="6"/>
        <v>4.7619047619047665E-2</v>
      </c>
      <c r="F66" s="17">
        <f t="shared" si="6"/>
        <v>2.4242424242424211E-2</v>
      </c>
      <c r="G66" s="17">
        <f t="shared" si="6"/>
        <v>6.8292682926829149E-2</v>
      </c>
      <c r="H66" s="17">
        <f t="shared" si="6"/>
        <v>8.4745762711864361E-2</v>
      </c>
      <c r="I66" s="17">
        <f t="shared" si="6"/>
        <v>0.13526570048309175</v>
      </c>
      <c r="J66" s="17">
        <f t="shared" si="6"/>
        <v>0.16981132075471683</v>
      </c>
      <c r="K66" s="17">
        <f t="shared" si="6"/>
        <v>1.3157894736842011E-2</v>
      </c>
      <c r="L66" s="17">
        <f t="shared" si="6"/>
        <v>0.27363184079601993</v>
      </c>
      <c r="M66" s="17">
        <f t="shared" si="6"/>
        <v>6.1904761904761837E-2</v>
      </c>
      <c r="N66" s="17">
        <f t="shared" si="6"/>
        <v>5.3140096618357481E-2</v>
      </c>
      <c r="O66" s="17">
        <f t="shared" si="6"/>
        <v>0.19305019305019328</v>
      </c>
      <c r="P66" s="17">
        <f t="shared" si="6"/>
        <v>6.4861499476131986E-33</v>
      </c>
      <c r="Q66" s="17">
        <f t="shared" si="6"/>
        <v>6.321839080459779E-2</v>
      </c>
      <c r="R66" s="17">
        <f t="shared" si="6"/>
        <v>4.5045045045045209E-2</v>
      </c>
      <c r="S66" s="17">
        <f t="shared" si="6"/>
        <v>7.4074074074074112E-2</v>
      </c>
      <c r="T66" s="17">
        <f t="shared" si="6"/>
        <v>4.6831955922864953E-2</v>
      </c>
      <c r="U66" s="17">
        <f t="shared" si="6"/>
        <v>9.5238095238095233E-2</v>
      </c>
      <c r="V66" s="17">
        <f>AVERAGE(B66:U66)</f>
        <v>8.9393067993258038E-2</v>
      </c>
    </row>
    <row r="67" spans="1:22" ht="14.25" customHeight="1" x14ac:dyDescent="0.45">
      <c r="A67" s="1" t="s">
        <v>123</v>
      </c>
      <c r="B67" s="17">
        <f t="shared" ref="B67:U67" si="7">B57/SUM(B54:B57)</f>
        <v>7.9155672823218962E-2</v>
      </c>
      <c r="C67" s="17">
        <f t="shared" si="7"/>
        <v>0.13745704467353922</v>
      </c>
      <c r="D67" s="17">
        <f t="shared" si="7"/>
        <v>0.19496855345911904</v>
      </c>
      <c r="E67" s="17">
        <f t="shared" si="7"/>
        <v>0.21164021164021193</v>
      </c>
      <c r="F67" s="17">
        <f t="shared" si="7"/>
        <v>0.20606060606060572</v>
      </c>
      <c r="G67" s="17">
        <f t="shared" si="7"/>
        <v>0.10243902439024387</v>
      </c>
      <c r="H67" s="17">
        <f t="shared" si="7"/>
        <v>8.4745762711864625E-2</v>
      </c>
      <c r="I67" s="17">
        <f t="shared" si="7"/>
        <v>0.19323671497584516</v>
      </c>
      <c r="J67" s="17">
        <f t="shared" si="7"/>
        <v>0.16981132075471703</v>
      </c>
      <c r="K67" s="17">
        <f t="shared" si="7"/>
        <v>0.28508771929824572</v>
      </c>
      <c r="L67" s="17">
        <f t="shared" si="7"/>
        <v>8.9552238805970311E-2</v>
      </c>
      <c r="M67" s="17">
        <f t="shared" si="7"/>
        <v>0.28571428571428559</v>
      </c>
      <c r="N67" s="17">
        <f t="shared" si="7"/>
        <v>0.32850241545893732</v>
      </c>
      <c r="O67" s="17">
        <f t="shared" si="7"/>
        <v>0.12741312741312733</v>
      </c>
      <c r="P67" s="17">
        <f t="shared" si="7"/>
        <v>0.15503875968992228</v>
      </c>
      <c r="Q67" s="17">
        <f t="shared" si="7"/>
        <v>0.20114942528735699</v>
      </c>
      <c r="R67" s="17">
        <f t="shared" si="7"/>
        <v>0.18018018018018053</v>
      </c>
      <c r="S67" s="17">
        <f t="shared" si="7"/>
        <v>0.28888888888888936</v>
      </c>
      <c r="T67" s="17">
        <f t="shared" si="7"/>
        <v>6.0606060606060816E-2</v>
      </c>
      <c r="U67" s="17">
        <f t="shared" si="7"/>
        <v>0.11428571428571428</v>
      </c>
      <c r="V67" s="17">
        <f>AVERAGE(B67:U67)</f>
        <v>0.17479668635590281</v>
      </c>
    </row>
    <row r="70" spans="1:22" ht="21.75" customHeight="1" x14ac:dyDescent="0.5">
      <c r="A70" s="4" t="s">
        <v>124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2" ht="14.25" customHeight="1" x14ac:dyDescent="0.45">
      <c r="A71" s="63"/>
      <c r="B71" s="60" t="s">
        <v>94</v>
      </c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1:22" ht="14.25" customHeight="1" x14ac:dyDescent="0.45">
      <c r="A72" s="63"/>
      <c r="B72" s="1" t="s">
        <v>95</v>
      </c>
      <c r="C72" s="1" t="s">
        <v>96</v>
      </c>
      <c r="D72" s="1" t="s">
        <v>97</v>
      </c>
      <c r="E72" s="1" t="s">
        <v>98</v>
      </c>
      <c r="F72" s="1" t="s">
        <v>99</v>
      </c>
      <c r="G72" s="1" t="s">
        <v>100</v>
      </c>
      <c r="H72" s="1" t="s">
        <v>101</v>
      </c>
      <c r="I72" s="1" t="s">
        <v>102</v>
      </c>
      <c r="J72" s="1" t="s">
        <v>103</v>
      </c>
      <c r="K72" s="1" t="s">
        <v>104</v>
      </c>
      <c r="L72" s="1" t="s">
        <v>105</v>
      </c>
      <c r="M72" s="1" t="s">
        <v>106</v>
      </c>
      <c r="N72" s="1" t="s">
        <v>107</v>
      </c>
      <c r="O72" s="1" t="s">
        <v>108</v>
      </c>
      <c r="P72" s="1" t="s">
        <v>109</v>
      </c>
      <c r="Q72" s="1" t="s">
        <v>110</v>
      </c>
      <c r="R72" s="1" t="s">
        <v>111</v>
      </c>
      <c r="S72" s="1" t="s">
        <v>112</v>
      </c>
      <c r="T72" s="1" t="s">
        <v>113</v>
      </c>
      <c r="U72" s="1" t="s">
        <v>114</v>
      </c>
    </row>
    <row r="73" spans="1:22" ht="14.25" customHeight="1" x14ac:dyDescent="0.45">
      <c r="A73" s="63"/>
      <c r="B73" s="6">
        <v>1</v>
      </c>
      <c r="C73" s="6">
        <v>2</v>
      </c>
      <c r="D73" s="6">
        <v>2</v>
      </c>
      <c r="E73" s="6">
        <v>1</v>
      </c>
      <c r="F73" s="6">
        <v>2</v>
      </c>
      <c r="G73" s="6">
        <v>1</v>
      </c>
      <c r="H73" s="6">
        <v>1</v>
      </c>
      <c r="I73" s="6">
        <v>2</v>
      </c>
      <c r="J73" s="6">
        <v>1</v>
      </c>
      <c r="K73" s="6">
        <v>1</v>
      </c>
      <c r="L73" s="6">
        <v>3</v>
      </c>
      <c r="M73" s="6">
        <v>3</v>
      </c>
      <c r="N73" s="6">
        <v>2</v>
      </c>
      <c r="O73" s="6">
        <v>1</v>
      </c>
      <c r="P73" s="6">
        <v>2</v>
      </c>
      <c r="Q73" s="6">
        <v>2</v>
      </c>
      <c r="R73" s="6">
        <v>1</v>
      </c>
      <c r="S73" s="6">
        <v>3</v>
      </c>
      <c r="T73" s="6">
        <v>2</v>
      </c>
      <c r="U73" s="6">
        <v>1</v>
      </c>
    </row>
    <row r="76" spans="1:22" ht="21.75" customHeight="1" x14ac:dyDescent="0.5">
      <c r="A76" s="4" t="s">
        <v>125</v>
      </c>
      <c r="B76" s="5"/>
      <c r="C76" s="5"/>
      <c r="D76" s="5"/>
    </row>
    <row r="77" spans="1:22" ht="14.25" customHeight="1" x14ac:dyDescent="0.45">
      <c r="A77" s="62" t="s">
        <v>116</v>
      </c>
      <c r="B77" s="60" t="s">
        <v>94</v>
      </c>
      <c r="C77" s="60"/>
      <c r="D77" s="6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2" ht="14.25" customHeight="1" x14ac:dyDescent="0.45">
      <c r="A78" s="62"/>
      <c r="B78" s="1" t="s">
        <v>8</v>
      </c>
      <c r="C78" s="1" t="s">
        <v>9</v>
      </c>
      <c r="D78" s="1" t="s">
        <v>10</v>
      </c>
    </row>
    <row r="79" spans="1:22" ht="14.25" customHeight="1" x14ac:dyDescent="0.45">
      <c r="A79" s="1" t="s">
        <v>5</v>
      </c>
      <c r="B79" s="17">
        <f>AVERAGEIF($B$73:$U$73,1,B64:U64)</f>
        <v>0.24835226449619588</v>
      </c>
      <c r="C79" s="17">
        <f>AVERAGEIF($B$73:$U$73,2,B64:U64)</f>
        <v>0.49338757794258981</v>
      </c>
      <c r="D79" s="17">
        <f>AVERAGEIF($B$73:$U$73,3,B64:U64)</f>
        <v>0.33298323198820695</v>
      </c>
    </row>
    <row r="80" spans="1:22" ht="14.25" customHeight="1" x14ac:dyDescent="0.45">
      <c r="A80" s="1" t="s">
        <v>4</v>
      </c>
      <c r="B80" s="17">
        <f>AVERAGEIF($B$73:$U$73,1,B65:U65)</f>
        <v>0.50240076513004872</v>
      </c>
      <c r="C80" s="17">
        <f>AVERAGEIF($B$73:$U$73,2,B65:U65)</f>
        <v>0.26076163912798311</v>
      </c>
      <c r="D80" s="17">
        <f>AVERAGEIF($B$73:$U$73,3,B65:U65)</f>
        <v>0.30909473795045933</v>
      </c>
    </row>
    <row r="81" spans="1:22" ht="14.25" customHeight="1" x14ac:dyDescent="0.45">
      <c r="A81" s="1" t="s">
        <v>7</v>
      </c>
      <c r="B81" s="17">
        <f>AVERAGEIF($B$73:$U$73,1,B66:U66)</f>
        <v>9.8718222207363815E-2</v>
      </c>
      <c r="C81" s="17">
        <f>AVERAGEIF($B$73:$U$73,2,B66:U66)</f>
        <v>6.1223335403003766E-2</v>
      </c>
      <c r="D81" s="17">
        <f>AVERAGEIF($B$73:$U$73,3,B66:U66)</f>
        <v>0.1365368922582853</v>
      </c>
    </row>
    <row r="82" spans="1:22" ht="14.25" customHeight="1" x14ac:dyDescent="0.45">
      <c r="A82" s="1" t="s">
        <v>6</v>
      </c>
      <c r="B82" s="17">
        <f>AVERAGEIF($B$73:$U$73,1,B67:U67)</f>
        <v>0.15052874816639161</v>
      </c>
      <c r="C82" s="17">
        <f>AVERAGEIF($B$73:$U$73,2,B67:U67)</f>
        <v>0.18462744752642332</v>
      </c>
      <c r="D82" s="17">
        <f>AVERAGEIF($B$73:$U$73,3,B67:U67)</f>
        <v>0.22138513780304839</v>
      </c>
    </row>
    <row r="83" spans="1:22" ht="14.25" customHeight="1" x14ac:dyDescent="0.45">
      <c r="A83" s="18"/>
      <c r="B83" s="8">
        <f>SUM(B79:B82)</f>
        <v>1</v>
      </c>
      <c r="C83" s="8">
        <f>SUM(C79:C82)</f>
        <v>1</v>
      </c>
      <c r="D83" s="8">
        <f>SUM(D79:D82)</f>
        <v>0.99999999999999989</v>
      </c>
    </row>
    <row r="84" spans="1:22" ht="14.25" customHeight="1" x14ac:dyDescent="0.45">
      <c r="A84" s="1" t="s">
        <v>11</v>
      </c>
      <c r="B84" s="6">
        <f>COUNTIF($B$73:$U$73,1)</f>
        <v>9</v>
      </c>
      <c r="C84" s="6">
        <f>COUNTIF($B$73:$U$73,2)</f>
        <v>8</v>
      </c>
      <c r="D84" s="6">
        <f>COUNTIF($B$73:$U$73,3)</f>
        <v>3</v>
      </c>
    </row>
    <row r="87" spans="1:22" ht="21.75" customHeight="1" x14ac:dyDescent="0.5">
      <c r="A87" s="4" t="s">
        <v>126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4.25" customHeight="1" x14ac:dyDescent="0.45">
      <c r="A88" s="62" t="s">
        <v>116</v>
      </c>
      <c r="B88" s="66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</row>
    <row r="89" spans="1:22" ht="14.25" customHeight="1" x14ac:dyDescent="0.45">
      <c r="A89" s="62"/>
      <c r="B89" s="1" t="s">
        <v>95</v>
      </c>
      <c r="C89" s="1" t="s">
        <v>96</v>
      </c>
      <c r="D89" s="1" t="s">
        <v>97</v>
      </c>
      <c r="E89" s="1" t="s">
        <v>98</v>
      </c>
      <c r="F89" s="1" t="s">
        <v>99</v>
      </c>
      <c r="G89" s="1" t="s">
        <v>100</v>
      </c>
      <c r="H89" s="1" t="s">
        <v>101</v>
      </c>
      <c r="I89" s="1" t="s">
        <v>102</v>
      </c>
      <c r="J89" s="1" t="s">
        <v>103</v>
      </c>
      <c r="K89" s="1" t="s">
        <v>104</v>
      </c>
      <c r="L89" s="1" t="s">
        <v>105</v>
      </c>
      <c r="M89" s="1" t="s">
        <v>106</v>
      </c>
      <c r="N89" s="1" t="s">
        <v>107</v>
      </c>
      <c r="O89" s="1" t="s">
        <v>108</v>
      </c>
      <c r="P89" s="1" t="s">
        <v>109</v>
      </c>
      <c r="Q89" s="1" t="s">
        <v>110</v>
      </c>
      <c r="R89" s="1" t="s">
        <v>111</v>
      </c>
      <c r="S89" s="1" t="s">
        <v>112</v>
      </c>
      <c r="T89" s="1" t="s">
        <v>113</v>
      </c>
      <c r="U89" s="24" t="s">
        <v>114</v>
      </c>
      <c r="V89" s="42" t="s">
        <v>119</v>
      </c>
    </row>
    <row r="90" spans="1:22" ht="14.25" customHeight="1" x14ac:dyDescent="0.45">
      <c r="A90" s="1" t="s">
        <v>73</v>
      </c>
      <c r="B90" s="16">
        <f>B$42*$B$14+B$43*$C$14+B$44*$D$14+B$45*$E$14+B$46*$F$14+B$47*$G$14+B$48*$H$14</f>
        <v>-3.3333333333333401</v>
      </c>
      <c r="C90" s="16">
        <f>C$42*$B$14+C$43*$C$14+C$44*$D$14+C$45*$E$14+C$46*$F$14+C$47*$G$14+C$48*$H$14</f>
        <v>-13.3333333333333</v>
      </c>
      <c r="D90" s="16">
        <f t="shared" ref="D90:U90" si="8">D$42*$B$14+D$43*$C$14+D$44*$D$14+D$45*$E$14+D$46*$F$14+D$47*$G$14+D$48*$H$14</f>
        <v>-9.3333333333333393</v>
      </c>
      <c r="E90" s="16">
        <f t="shared" si="8"/>
        <v>-6.6666666666666696</v>
      </c>
      <c r="F90" s="16">
        <f t="shared" si="8"/>
        <v>-11.3333333333333</v>
      </c>
      <c r="G90" s="16">
        <f t="shared" si="8"/>
        <v>-5.6666666666666696</v>
      </c>
      <c r="H90" s="16">
        <f t="shared" si="8"/>
        <v>-2</v>
      </c>
      <c r="I90" s="16">
        <f t="shared" si="8"/>
        <v>-13.3333333333333</v>
      </c>
      <c r="J90" s="16">
        <f t="shared" si="8"/>
        <v>-6</v>
      </c>
      <c r="K90" s="16">
        <f t="shared" si="8"/>
        <v>-21.6666666666667</v>
      </c>
      <c r="L90" s="16">
        <f t="shared" si="8"/>
        <v>-2.6666666666666701</v>
      </c>
      <c r="M90" s="16">
        <f t="shared" si="8"/>
        <v>-20</v>
      </c>
      <c r="N90" s="16">
        <f t="shared" si="8"/>
        <v>-22.6666666666667</v>
      </c>
      <c r="O90" s="16">
        <f t="shared" si="8"/>
        <v>-7.6666666666666803</v>
      </c>
      <c r="P90" s="16">
        <f t="shared" si="8"/>
        <v>-6.6666666666666696</v>
      </c>
      <c r="Q90" s="16">
        <f t="shared" si="8"/>
        <v>-11.6666666666667</v>
      </c>
      <c r="R90" s="16">
        <f t="shared" si="8"/>
        <v>-6.6666666666666696</v>
      </c>
      <c r="S90" s="16">
        <f t="shared" si="8"/>
        <v>-13</v>
      </c>
      <c r="T90" s="16">
        <f t="shared" si="8"/>
        <v>-3.6666666666666798</v>
      </c>
      <c r="U90" s="16">
        <f t="shared" si="8"/>
        <v>-12</v>
      </c>
      <c r="V90" s="43">
        <f>AVERAGE(B90:U90)</f>
        <v>-9.9666666666666703</v>
      </c>
    </row>
    <row r="91" spans="1:22" ht="14.25" customHeight="1" x14ac:dyDescent="0.45">
      <c r="A91" s="1" t="s">
        <v>74</v>
      </c>
      <c r="B91" s="16">
        <f>B$42*$B$15+B$43*$C$15+B$44*$D$15+B$45*$E$15+B$46*$F$15+B$47*$G$15+B$48*$H$15</f>
        <v>-26.6666666666667</v>
      </c>
      <c r="C91" s="16">
        <f>C$42*$B$15+C$43*$C$15+C$44*$D$15+C$45*$E$15+C$46*$F$15+C$47*$G$15+C$48*$H$15</f>
        <v>-31.6666666666666</v>
      </c>
      <c r="D91" s="16">
        <f t="shared" ref="D91:U91" si="9">D$42*$B$15+D$43*$C$15+D$44*$D$15+D$45*$E$15+D$46*$F$15+D$47*$G$15+D$48*$H$15</f>
        <v>-17.3333333333333</v>
      </c>
      <c r="E91" s="16">
        <f t="shared" si="9"/>
        <v>-11</v>
      </c>
      <c r="F91" s="16">
        <f t="shared" si="9"/>
        <v>-20</v>
      </c>
      <c r="G91" s="16">
        <f t="shared" si="9"/>
        <v>-31.6666666666667</v>
      </c>
      <c r="H91" s="16">
        <f t="shared" si="9"/>
        <v>-18.333333333333339</v>
      </c>
      <c r="I91" s="16">
        <f t="shared" si="9"/>
        <v>-10.333333333333339</v>
      </c>
      <c r="J91" s="16">
        <f t="shared" si="9"/>
        <v>-28.3333333333333</v>
      </c>
      <c r="K91" s="16">
        <f t="shared" si="9"/>
        <v>-36.666666666666629</v>
      </c>
      <c r="L91" s="16">
        <f t="shared" si="9"/>
        <v>-8.9999999999999947</v>
      </c>
      <c r="M91" s="16">
        <f t="shared" si="9"/>
        <v>-32</v>
      </c>
      <c r="N91" s="16">
        <f t="shared" si="9"/>
        <v>-26</v>
      </c>
      <c r="O91" s="16">
        <f t="shared" si="9"/>
        <v>-11.666666666666684</v>
      </c>
      <c r="P91" s="16">
        <f t="shared" si="9"/>
        <v>-12.666666666666639</v>
      </c>
      <c r="Q91" s="16">
        <f t="shared" si="9"/>
        <v>-15.333333333333339</v>
      </c>
      <c r="R91" s="16">
        <f t="shared" si="9"/>
        <v>-8.3333333333333393</v>
      </c>
      <c r="S91" s="16">
        <f t="shared" si="9"/>
        <v>-15.33333333333333</v>
      </c>
      <c r="T91" s="16">
        <f t="shared" si="9"/>
        <v>-8.6666666666666803</v>
      </c>
      <c r="U91" s="16">
        <f t="shared" si="9"/>
        <v>-57</v>
      </c>
      <c r="V91" s="43">
        <f t="shared" ref="V91:V98" si="10">AVERAGE(B91:U91)</f>
        <v>-21.399999999999995</v>
      </c>
    </row>
    <row r="92" spans="1:22" ht="14.25" customHeight="1" x14ac:dyDescent="0.45">
      <c r="A92" s="1" t="s">
        <v>75</v>
      </c>
      <c r="B92" s="16">
        <f>B$42*$B$16+B$43*$C$16+B$44*$D$16+B$45*$E$16+B$46*$F$16+B$47*$G$16+B$48*$H$16</f>
        <v>-42.5</v>
      </c>
      <c r="C92" s="16">
        <f t="shared" ref="C92:U92" si="11">C$42*$B$16+C$43*$C$16+C$44*$D$16+C$45*$E$16+C$46*$F$16+C$47*$G$16+C$48*$H$16</f>
        <v>-37.999999999999957</v>
      </c>
      <c r="D92" s="16">
        <f t="shared" si="11"/>
        <v>-19.333333333333361</v>
      </c>
      <c r="E92" s="16">
        <f t="shared" si="11"/>
        <v>-18.8333333333333</v>
      </c>
      <c r="F92" s="16">
        <f t="shared" si="11"/>
        <v>-13.666666666666631</v>
      </c>
      <c r="G92" s="16">
        <f t="shared" si="11"/>
        <v>-34.666666666666657</v>
      </c>
      <c r="H92" s="16">
        <f t="shared" si="11"/>
        <v>-29.666666666666629</v>
      </c>
      <c r="I92" s="16">
        <f t="shared" si="11"/>
        <v>-21.333333333333321</v>
      </c>
      <c r="J92" s="16">
        <f t="shared" si="11"/>
        <v>-33.666666666666686</v>
      </c>
      <c r="K92" s="16">
        <f t="shared" si="11"/>
        <v>-37.666666666666693</v>
      </c>
      <c r="L92" s="16">
        <f t="shared" si="11"/>
        <v>1.1666666666666696</v>
      </c>
      <c r="M92" s="16">
        <f t="shared" si="11"/>
        <v>-29.000000000000028</v>
      </c>
      <c r="N92" s="16">
        <f t="shared" si="11"/>
        <v>-14.333333333333369</v>
      </c>
      <c r="O92" s="16">
        <f t="shared" si="11"/>
        <v>-58.6666666666667</v>
      </c>
      <c r="P92" s="16">
        <f t="shared" si="11"/>
        <v>-12.6666666666667</v>
      </c>
      <c r="Q92" s="16">
        <f t="shared" si="11"/>
        <v>-17.999999999999972</v>
      </c>
      <c r="R92" s="16">
        <f t="shared" si="11"/>
        <v>-17.999999999999972</v>
      </c>
      <c r="S92" s="16">
        <f t="shared" si="11"/>
        <v>-16.666666666666629</v>
      </c>
      <c r="T92" s="16">
        <f t="shared" si="11"/>
        <v>-27.166666666666629</v>
      </c>
      <c r="U92" s="16">
        <f t="shared" si="11"/>
        <v>-61</v>
      </c>
      <c r="V92" s="43">
        <f t="shared" si="10"/>
        <v>-27.18333333333333</v>
      </c>
    </row>
    <row r="93" spans="1:22" ht="14.25" customHeight="1" x14ac:dyDescent="0.45">
      <c r="A93" s="1" t="s">
        <v>76</v>
      </c>
      <c r="B93" s="16">
        <f>B$42*$B$17+B$43*$C$17+B$44*$D$17+B$45*$E$17+B$46*$F$17+B$47*$G$17+B$48*$H$17</f>
        <v>-26.5</v>
      </c>
      <c r="C93" s="16">
        <f t="shared" ref="C93:U93" si="12">C$42*$B$17+C$43*$C$17+C$44*$D$17+C$45*$E$17+C$46*$F$17+C$47*$G$17+C$48*$H$17</f>
        <v>-60.999999999999957</v>
      </c>
      <c r="D93" s="16">
        <f t="shared" si="12"/>
        <v>-29.333333333333261</v>
      </c>
      <c r="E93" s="16">
        <f t="shared" si="12"/>
        <v>-6.8333333333333304</v>
      </c>
      <c r="F93" s="16">
        <f t="shared" si="12"/>
        <v>-23.666666666666629</v>
      </c>
      <c r="G93" s="16">
        <f t="shared" si="12"/>
        <v>-18.666666666666661</v>
      </c>
      <c r="H93" s="16">
        <f t="shared" si="12"/>
        <v>-10.666666666666679</v>
      </c>
      <c r="I93" s="16">
        <f t="shared" si="12"/>
        <v>-38.333333333333321</v>
      </c>
      <c r="J93" s="16">
        <f t="shared" si="12"/>
        <v>-23.666666666666657</v>
      </c>
      <c r="K93" s="16">
        <f t="shared" si="12"/>
        <v>-22.666666666666721</v>
      </c>
      <c r="L93" s="16">
        <f t="shared" si="12"/>
        <v>0.16666666666666635</v>
      </c>
      <c r="M93" s="16">
        <f t="shared" si="12"/>
        <v>-27.999999999999972</v>
      </c>
      <c r="N93" s="16">
        <f t="shared" si="12"/>
        <v>-55.333333333333371</v>
      </c>
      <c r="O93" s="16">
        <f t="shared" si="12"/>
        <v>-32.666666666666714</v>
      </c>
      <c r="P93" s="16">
        <f t="shared" si="12"/>
        <v>-20.666666666666739</v>
      </c>
      <c r="Q93" s="16">
        <f t="shared" si="12"/>
        <v>-37.999999999999972</v>
      </c>
      <c r="R93" s="16">
        <f t="shared" si="12"/>
        <v>-13.000000000000009</v>
      </c>
      <c r="S93" s="16">
        <f t="shared" si="12"/>
        <v>-21.666666666666661</v>
      </c>
      <c r="T93" s="16">
        <f t="shared" si="12"/>
        <v>-24.1666666666667</v>
      </c>
      <c r="U93" s="16">
        <f t="shared" si="12"/>
        <v>-48</v>
      </c>
      <c r="V93" s="43">
        <f t="shared" si="10"/>
        <v>-27.133333333333336</v>
      </c>
    </row>
    <row r="94" spans="1:22" ht="14.25" customHeight="1" x14ac:dyDescent="0.45">
      <c r="A94" s="1" t="s">
        <v>77</v>
      </c>
      <c r="B94" s="16">
        <f>B$42*$B$18+B$43*$C$18+B$44*$D$18+B$45*$E$18+B$46*$F$18+B$47*$G$18+B$48*$H$18</f>
        <v>-32.3333333333334</v>
      </c>
      <c r="C94" s="16">
        <f t="shared" ref="C94:U94" si="13">C$42*$B$18+C$43*$C$18+C$44*$D$18+C$45*$E$18+C$46*$F$18+C$47*$G$18+C$48*$H$18</f>
        <v>-58.3333333333333</v>
      </c>
      <c r="D94" s="16">
        <f t="shared" si="13"/>
        <v>-21.3333333333333</v>
      </c>
      <c r="E94" s="16">
        <f t="shared" si="13"/>
        <v>-11.66666666666667</v>
      </c>
      <c r="F94" s="16">
        <f t="shared" si="13"/>
        <v>-26.3333333333333</v>
      </c>
      <c r="G94" s="16">
        <f t="shared" si="13"/>
        <v>-31.6666666666667</v>
      </c>
      <c r="H94" s="16">
        <f t="shared" si="13"/>
        <v>-19.000000000000011</v>
      </c>
      <c r="I94" s="16">
        <f t="shared" si="13"/>
        <v>-31.333333333333339</v>
      </c>
      <c r="J94" s="16">
        <f t="shared" si="13"/>
        <v>-24.999999999999972</v>
      </c>
      <c r="K94" s="16">
        <f t="shared" si="13"/>
        <v>-45.6666666666667</v>
      </c>
      <c r="L94" s="16">
        <f t="shared" si="13"/>
        <v>-18.666666666666671</v>
      </c>
      <c r="M94" s="16">
        <f t="shared" si="13"/>
        <v>-21.000000000000039</v>
      </c>
      <c r="N94" s="16">
        <f t="shared" si="13"/>
        <v>-33.6666666666667</v>
      </c>
      <c r="O94" s="16">
        <f t="shared" si="13"/>
        <v>-5.6666666666666936</v>
      </c>
      <c r="P94" s="16">
        <f t="shared" si="13"/>
        <v>-30.6666666666667</v>
      </c>
      <c r="Q94" s="16">
        <f t="shared" si="13"/>
        <v>-27.666666666666639</v>
      </c>
      <c r="R94" s="16">
        <f t="shared" si="13"/>
        <v>-13.666666666666679</v>
      </c>
      <c r="S94" s="16">
        <f t="shared" si="13"/>
        <v>-17</v>
      </c>
      <c r="T94" s="16">
        <f t="shared" si="13"/>
        <v>-24.66666666666671</v>
      </c>
      <c r="U94" s="16">
        <f t="shared" si="13"/>
        <v>-75</v>
      </c>
      <c r="V94" s="43">
        <f t="shared" si="10"/>
        <v>-28.516666666666673</v>
      </c>
    </row>
    <row r="95" spans="1:22" ht="14.25" customHeight="1" x14ac:dyDescent="0.45">
      <c r="A95" s="1" t="s">
        <v>78</v>
      </c>
      <c r="B95" s="16">
        <f>B$42*$B$19+B$43*$C$19+B$44*$D$19+B$45*$E$19+B$46*$F$19+B$47*$G$19+B$48*$H$19</f>
        <v>-45.666666666666742</v>
      </c>
      <c r="C95" s="16">
        <f t="shared" ref="C95:U95" si="14">C$42*$B$19+C$43*$C$19+C$44*$D$19+C$45*$E$19+C$46*$F$19+C$47*$G$19+C$48*$H$19</f>
        <v>-83.6666666666666</v>
      </c>
      <c r="D95" s="16">
        <f t="shared" si="14"/>
        <v>-38.333333333333343</v>
      </c>
      <c r="E95" s="16">
        <f t="shared" si="14"/>
        <v>-26.999999999999972</v>
      </c>
      <c r="F95" s="16">
        <f t="shared" si="14"/>
        <v>-37.999999999999901</v>
      </c>
      <c r="G95" s="16">
        <f t="shared" si="14"/>
        <v>-42.666666666666671</v>
      </c>
      <c r="H95" s="16">
        <f t="shared" si="14"/>
        <v>-32.333333333333314</v>
      </c>
      <c r="I95" s="16">
        <f t="shared" si="14"/>
        <v>-50.3333333333333</v>
      </c>
      <c r="J95" s="16">
        <f t="shared" si="14"/>
        <v>-36.333333333333371</v>
      </c>
      <c r="K95" s="16">
        <f t="shared" si="14"/>
        <v>-73.666666666666799</v>
      </c>
      <c r="L95" s="16">
        <f t="shared" si="14"/>
        <v>-20.000000000000011</v>
      </c>
      <c r="M95" s="16">
        <f t="shared" si="14"/>
        <v>-51.000000000000043</v>
      </c>
      <c r="N95" s="16">
        <f t="shared" si="14"/>
        <v>-63.000000000000099</v>
      </c>
      <c r="O95" s="16">
        <f t="shared" si="14"/>
        <v>-54.666666666666686</v>
      </c>
      <c r="P95" s="16">
        <f t="shared" si="14"/>
        <v>-38.666666666666771</v>
      </c>
      <c r="Q95" s="16">
        <f t="shared" si="14"/>
        <v>-49.3333333333333</v>
      </c>
      <c r="R95" s="16">
        <f t="shared" si="14"/>
        <v>-31.333333333333307</v>
      </c>
      <c r="S95" s="16">
        <f t="shared" si="14"/>
        <v>-36.3333333333333</v>
      </c>
      <c r="T95" s="16">
        <f t="shared" si="14"/>
        <v>-46.666666666666679</v>
      </c>
      <c r="U95" s="16">
        <f t="shared" si="14"/>
        <v>-91</v>
      </c>
      <c r="V95" s="43">
        <f t="shared" si="10"/>
        <v>-47.500000000000007</v>
      </c>
    </row>
    <row r="96" spans="1:22" ht="14.25" customHeight="1" x14ac:dyDescent="0.45">
      <c r="A96" s="1" t="s">
        <v>79</v>
      </c>
      <c r="B96" s="16">
        <f>B$42*$B$20+B$43*$C$20+B$44*$D$20+B$45*$E$20+B$46*$F$20+B$47*$G$20+B$48*$H$20</f>
        <v>-15.6666666666667</v>
      </c>
      <c r="C96" s="16">
        <f t="shared" ref="C96:U96" si="15">C$42*$B$20+C$43*$C$20+C$44*$D$20+C$45*$E$20+C$46*$F$20+C$47*$G$20+C$48*$H$20</f>
        <v>-45.6666666666667</v>
      </c>
      <c r="D96" s="16">
        <f t="shared" si="15"/>
        <v>-23.3333333333333</v>
      </c>
      <c r="E96" s="16">
        <f t="shared" si="15"/>
        <v>-6</v>
      </c>
      <c r="F96" s="16">
        <f t="shared" si="15"/>
        <v>-30</v>
      </c>
      <c r="G96" s="16">
        <f t="shared" si="15"/>
        <v>-26.6666666666667</v>
      </c>
      <c r="H96" s="16">
        <f t="shared" si="15"/>
        <v>-6.3333333333333401</v>
      </c>
      <c r="I96" s="16">
        <f t="shared" si="15"/>
        <v>-34.3333333333333</v>
      </c>
      <c r="J96" s="16">
        <f t="shared" si="15"/>
        <v>-10.3333333333333</v>
      </c>
      <c r="K96" s="16">
        <f t="shared" si="15"/>
        <v>-16.6666666666667</v>
      </c>
      <c r="L96" s="16">
        <f t="shared" si="15"/>
        <v>-12</v>
      </c>
      <c r="M96" s="16">
        <f t="shared" si="15"/>
        <v>-21</v>
      </c>
      <c r="N96" s="16">
        <f t="shared" si="15"/>
        <v>-32</v>
      </c>
      <c r="O96" s="16">
        <f t="shared" si="15"/>
        <v>-16.6666666666667</v>
      </c>
      <c r="P96" s="16">
        <f t="shared" si="15"/>
        <v>-23.6666666666667</v>
      </c>
      <c r="Q96" s="16">
        <f t="shared" si="15"/>
        <v>-28.3333333333333</v>
      </c>
      <c r="R96" s="16">
        <f t="shared" si="15"/>
        <v>-12.3333333333333</v>
      </c>
      <c r="S96" s="16">
        <f t="shared" si="15"/>
        <v>-15.3333333333333</v>
      </c>
      <c r="T96" s="16">
        <f t="shared" si="15"/>
        <v>-29.6666666666667</v>
      </c>
      <c r="U96" s="16">
        <f t="shared" si="15"/>
        <v>-32</v>
      </c>
      <c r="V96" s="43">
        <f t="shared" si="10"/>
        <v>-21.900000000000002</v>
      </c>
    </row>
    <row r="97" spans="1:22" ht="14.25" customHeight="1" x14ac:dyDescent="0.45">
      <c r="A97" s="1" t="s">
        <v>80</v>
      </c>
      <c r="B97" s="16">
        <f>B$42*$B$21+B$43*$C$21+B$44*$D$21+B$45*$E$21+B$46*$F$21+B$47*$G$21+B$48*$H$21</f>
        <v>-51.500000000000043</v>
      </c>
      <c r="C97" s="16">
        <f t="shared" ref="C97:U97" si="16">C$42*$B$21+C$43*$C$21+C$44*$D$21+C$45*$E$21+C$46*$F$21+C$47*$G$21+C$48*$H$21</f>
        <v>-84.999999999999957</v>
      </c>
      <c r="D97" s="16">
        <f t="shared" si="16"/>
        <v>-44.3333333333333</v>
      </c>
      <c r="E97" s="16">
        <f t="shared" si="16"/>
        <v>-22.833333333333343</v>
      </c>
      <c r="F97" s="16">
        <f t="shared" si="16"/>
        <v>-54.666666666666629</v>
      </c>
      <c r="G97" s="16">
        <f t="shared" si="16"/>
        <v>-61.666666666666728</v>
      </c>
      <c r="H97" s="16">
        <f t="shared" si="16"/>
        <v>-26.666666666666668</v>
      </c>
      <c r="I97" s="16">
        <f t="shared" si="16"/>
        <v>-63.333333333333265</v>
      </c>
      <c r="J97" s="16">
        <f t="shared" si="16"/>
        <v>-44.666666666666586</v>
      </c>
      <c r="K97" s="16">
        <f t="shared" si="16"/>
        <v>-69.666666666666686</v>
      </c>
      <c r="L97" s="16">
        <f t="shared" si="16"/>
        <v>-14.833333333333329</v>
      </c>
      <c r="M97" s="16">
        <f t="shared" si="16"/>
        <v>-60.000000000000028</v>
      </c>
      <c r="N97" s="16">
        <f t="shared" si="16"/>
        <v>-62.333333333333371</v>
      </c>
      <c r="O97" s="16">
        <f t="shared" si="16"/>
        <v>-41.666666666666764</v>
      </c>
      <c r="P97" s="16">
        <f t="shared" si="16"/>
        <v>-41.666666666666671</v>
      </c>
      <c r="Q97" s="16">
        <f t="shared" si="16"/>
        <v>-48.000000000000014</v>
      </c>
      <c r="R97" s="16">
        <f t="shared" si="16"/>
        <v>-25.999999999999979</v>
      </c>
      <c r="S97" s="16">
        <f t="shared" si="16"/>
        <v>-38.666666666666629</v>
      </c>
      <c r="T97" s="16">
        <f t="shared" si="16"/>
        <v>-42.166666666666714</v>
      </c>
      <c r="U97" s="16">
        <f t="shared" si="16"/>
        <v>-101</v>
      </c>
      <c r="V97" s="43">
        <f t="shared" si="10"/>
        <v>-50.033333333333339</v>
      </c>
    </row>
    <row r="98" spans="1:22" ht="14.25" customHeight="1" x14ac:dyDescent="0.45">
      <c r="A98" s="1" t="s">
        <v>81</v>
      </c>
      <c r="B98" s="16">
        <f>B$42*$B$22+B$43*$C$22+B$44*$D$22+B$45*$E$22+B$46*$F$22+B$47*$G$22+B$48*$H$22</f>
        <v>-52.3333333333334</v>
      </c>
      <c r="C98" s="16">
        <f t="shared" ref="C98:U98" si="17">C$42*$B$22+C$43*$C$22+C$44*$D$22+C$45*$E$22+C$46*$F$22+C$47*$G$22+C$48*$H$22</f>
        <v>-89.3333333333333</v>
      </c>
      <c r="D98" s="16">
        <f t="shared" si="17"/>
        <v>-48.3333333333333</v>
      </c>
      <c r="E98" s="16">
        <f t="shared" si="17"/>
        <v>-25.666666666666629</v>
      </c>
      <c r="F98" s="16">
        <f t="shared" si="17"/>
        <v>-50.3333333333333</v>
      </c>
      <c r="G98" s="16">
        <f t="shared" si="17"/>
        <v>-63.6666666666667</v>
      </c>
      <c r="H98" s="16">
        <f t="shared" si="17"/>
        <v>-35.999999999999986</v>
      </c>
      <c r="I98" s="16">
        <f t="shared" si="17"/>
        <v>-50.3333333333333</v>
      </c>
      <c r="J98" s="16">
        <f t="shared" si="17"/>
        <v>-44</v>
      </c>
      <c r="K98" s="16">
        <f t="shared" si="17"/>
        <v>-59.666666666666728</v>
      </c>
      <c r="L98" s="16">
        <f t="shared" si="17"/>
        <v>-19.666666666666664</v>
      </c>
      <c r="M98" s="16">
        <f t="shared" si="17"/>
        <v>-63</v>
      </c>
      <c r="N98" s="16">
        <f t="shared" si="17"/>
        <v>-64.6666666666667</v>
      </c>
      <c r="O98" s="16">
        <f t="shared" si="17"/>
        <v>-69.6666666666667</v>
      </c>
      <c r="P98" s="16">
        <f t="shared" si="17"/>
        <v>-37.666666666666742</v>
      </c>
      <c r="Q98" s="16">
        <f t="shared" si="17"/>
        <v>-53.6666666666666</v>
      </c>
      <c r="R98" s="16">
        <f t="shared" si="17"/>
        <v>-31.6666666666666</v>
      </c>
      <c r="S98" s="16">
        <f t="shared" si="17"/>
        <v>-36.999999999999929</v>
      </c>
      <c r="T98" s="16">
        <f t="shared" si="17"/>
        <v>-56.666666666666671</v>
      </c>
      <c r="U98" s="16">
        <f t="shared" si="17"/>
        <v>-93</v>
      </c>
      <c r="V98" s="43">
        <f t="shared" si="10"/>
        <v>-52.316666666666663</v>
      </c>
    </row>
    <row r="101" spans="1:22" ht="21.75" customHeight="1" x14ac:dyDescent="0.5">
      <c r="A101" s="4" t="s">
        <v>127</v>
      </c>
      <c r="B101" s="5"/>
      <c r="C101" s="5"/>
      <c r="D101" s="5"/>
      <c r="E101" s="5"/>
      <c r="F101" s="5"/>
      <c r="G101" s="5"/>
      <c r="H101" s="5"/>
    </row>
    <row r="102" spans="1:22" ht="14.25" customHeight="1" x14ac:dyDescent="0.45">
      <c r="A102" s="64" t="s">
        <v>128</v>
      </c>
      <c r="B102" s="60" t="s">
        <v>92</v>
      </c>
      <c r="C102" s="60"/>
      <c r="D102" s="60"/>
      <c r="E102" s="60"/>
      <c r="F102" s="60"/>
      <c r="G102" s="60"/>
      <c r="H102" s="60"/>
    </row>
    <row r="103" spans="1:22" ht="14.25" customHeight="1" x14ac:dyDescent="0.45">
      <c r="A103" s="64"/>
      <c r="B103" s="1" t="s">
        <v>41</v>
      </c>
      <c r="C103" s="1" t="s">
        <v>42</v>
      </c>
      <c r="D103" s="1" t="s">
        <v>43</v>
      </c>
      <c r="E103" s="1" t="s">
        <v>44</v>
      </c>
      <c r="F103" s="1" t="s">
        <v>45</v>
      </c>
      <c r="G103" s="1" t="s">
        <v>46</v>
      </c>
      <c r="H103" s="1" t="s">
        <v>47</v>
      </c>
    </row>
    <row r="104" spans="1:22" ht="14.25" customHeight="1" x14ac:dyDescent="0.45">
      <c r="A104" s="1" t="s">
        <v>129</v>
      </c>
      <c r="B104" s="6">
        <v>0</v>
      </c>
      <c r="C104" s="6">
        <v>0</v>
      </c>
      <c r="D104" s="6">
        <v>0</v>
      </c>
      <c r="E104" s="6">
        <v>1</v>
      </c>
      <c r="F104" s="6">
        <v>0</v>
      </c>
      <c r="G104" s="6">
        <v>1</v>
      </c>
      <c r="H104" s="6">
        <v>0</v>
      </c>
    </row>
    <row r="105" spans="1:22" ht="14.25" customHeight="1" x14ac:dyDescent="0.45">
      <c r="A105" s="1" t="s">
        <v>130</v>
      </c>
      <c r="B105" s="6">
        <v>1</v>
      </c>
      <c r="C105" s="6">
        <v>0</v>
      </c>
      <c r="D105" s="6">
        <v>1</v>
      </c>
      <c r="E105" s="6">
        <v>0</v>
      </c>
      <c r="F105" s="6">
        <v>1</v>
      </c>
      <c r="G105" s="6">
        <v>0</v>
      </c>
      <c r="H105" s="6">
        <v>0</v>
      </c>
    </row>
    <row r="106" spans="1:22" ht="14.25" customHeight="1" x14ac:dyDescent="0.45">
      <c r="A106" s="1" t="s">
        <v>131</v>
      </c>
      <c r="B106" s="6">
        <v>0</v>
      </c>
      <c r="C106" s="6">
        <v>1</v>
      </c>
      <c r="D106" s="6">
        <v>0</v>
      </c>
      <c r="E106" s="6">
        <v>0</v>
      </c>
      <c r="F106" s="6">
        <v>0</v>
      </c>
      <c r="G106" s="6">
        <v>0</v>
      </c>
      <c r="H106" s="6">
        <v>1</v>
      </c>
    </row>
    <row r="107" spans="1:22" ht="14.25" customHeight="1" x14ac:dyDescent="0.45">
      <c r="A107" s="1" t="s">
        <v>132</v>
      </c>
      <c r="B107" s="6">
        <v>0</v>
      </c>
      <c r="C107" s="6">
        <v>0</v>
      </c>
      <c r="D107" s="6">
        <v>0</v>
      </c>
      <c r="E107" s="6">
        <v>1</v>
      </c>
      <c r="F107" s="6">
        <v>1</v>
      </c>
      <c r="G107" s="6">
        <v>0</v>
      </c>
      <c r="H107" s="6">
        <v>0</v>
      </c>
    </row>
    <row r="110" spans="1:22" ht="21.75" customHeight="1" x14ac:dyDescent="0.5">
      <c r="A110" s="4" t="s">
        <v>133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41"/>
      <c r="T110" s="5"/>
      <c r="U110" s="5"/>
    </row>
    <row r="111" spans="1:22" ht="14.25" customHeight="1" x14ac:dyDescent="0.45">
      <c r="A111" s="64" t="s">
        <v>128</v>
      </c>
      <c r="B111" s="60" t="s">
        <v>94</v>
      </c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</row>
    <row r="112" spans="1:22" ht="14.25" customHeight="1" x14ac:dyDescent="0.45">
      <c r="A112" s="64"/>
      <c r="B112" s="1" t="s">
        <v>95</v>
      </c>
      <c r="C112" s="1" t="s">
        <v>96</v>
      </c>
      <c r="D112" s="1" t="s">
        <v>97</v>
      </c>
      <c r="E112" s="1" t="s">
        <v>98</v>
      </c>
      <c r="F112" s="1" t="s">
        <v>99</v>
      </c>
      <c r="G112" s="1" t="s">
        <v>100</v>
      </c>
      <c r="H112" s="1" t="s">
        <v>101</v>
      </c>
      <c r="I112" s="1" t="s">
        <v>102</v>
      </c>
      <c r="J112" s="1" t="s">
        <v>103</v>
      </c>
      <c r="K112" s="1" t="s">
        <v>104</v>
      </c>
      <c r="L112" s="1" t="s">
        <v>105</v>
      </c>
      <c r="M112" s="1" t="s">
        <v>106</v>
      </c>
      <c r="N112" s="1" t="s">
        <v>107</v>
      </c>
      <c r="O112" s="1" t="s">
        <v>108</v>
      </c>
      <c r="P112" s="1" t="s">
        <v>109</v>
      </c>
      <c r="Q112" s="1" t="s">
        <v>110</v>
      </c>
      <c r="R112" s="1" t="s">
        <v>111</v>
      </c>
      <c r="S112" s="1" t="s">
        <v>112</v>
      </c>
      <c r="T112" s="1" t="s">
        <v>113</v>
      </c>
      <c r="U112" s="1" t="s">
        <v>114</v>
      </c>
    </row>
    <row r="113" spans="1:22" ht="14.25" customHeight="1" x14ac:dyDescent="0.45">
      <c r="A113" s="1" t="s">
        <v>129</v>
      </c>
      <c r="B113" s="16">
        <f>B$42*$B$104+B$43*$C$104+B$44*$D$104+B$45*$E$104+B$46*$F$104+B$47*$G$104+B$48*$H$104</f>
        <v>-36.6666666666667</v>
      </c>
      <c r="C113" s="16">
        <f t="shared" ref="C113:E113" si="18">C$42*$B$104+C$43*$C$104+C$44*$D$104+C$45*$E$104+C$46*$F$104+C$47*$G$104+C$48*$H$104</f>
        <v>-43.6666666666666</v>
      </c>
      <c r="D113" s="16">
        <f t="shared" si="18"/>
        <v>-25</v>
      </c>
      <c r="E113" s="16">
        <f t="shared" si="18"/>
        <v>-19.666666666666629</v>
      </c>
      <c r="F113" s="16">
        <f>F$42*$B$104+F$43*$C$104+F$44*$D$104+F$45*$E$104+F$46*$F$104+F$47*$G$104+F$48*$H$104</f>
        <v>-20.3333333333333</v>
      </c>
      <c r="G113" s="16">
        <f t="shared" ref="G113:U113" si="19">G$42*$B$104+G$43*$C$104+G$44*$D$104+G$45*$E$104+G$46*$F$104+G$47*$G$104+G$48*$H$104</f>
        <v>-37</v>
      </c>
      <c r="H113" s="16">
        <f t="shared" si="19"/>
        <v>-29.666666666666639</v>
      </c>
      <c r="I113" s="16">
        <f t="shared" si="19"/>
        <v>-16</v>
      </c>
      <c r="J113" s="16">
        <f t="shared" si="19"/>
        <v>-33.6666666666667</v>
      </c>
      <c r="K113" s="16">
        <f t="shared" si="19"/>
        <v>-43.000000000000028</v>
      </c>
      <c r="L113" s="16">
        <f t="shared" si="19"/>
        <v>-7.6666666666666643</v>
      </c>
      <c r="M113" s="16">
        <f t="shared" si="19"/>
        <v>-42</v>
      </c>
      <c r="N113" s="16">
        <f t="shared" si="19"/>
        <v>-32.6666666666667</v>
      </c>
      <c r="O113" s="16">
        <f t="shared" si="19"/>
        <v>-53</v>
      </c>
      <c r="P113" s="16">
        <f t="shared" si="19"/>
        <v>-14.000000000000039</v>
      </c>
      <c r="Q113" s="16">
        <f t="shared" si="19"/>
        <v>-25.3333333333333</v>
      </c>
      <c r="R113" s="16">
        <f t="shared" si="19"/>
        <v>-19.3333333333333</v>
      </c>
      <c r="S113" s="16">
        <f t="shared" si="19"/>
        <v>-21.666666666666629</v>
      </c>
      <c r="T113" s="16">
        <f t="shared" si="19"/>
        <v>-26.999999999999972</v>
      </c>
      <c r="U113" s="16">
        <f t="shared" si="19"/>
        <v>-61</v>
      </c>
    </row>
    <row r="114" spans="1:22" ht="14.25" customHeight="1" x14ac:dyDescent="0.45">
      <c r="A114" s="1" t="s">
        <v>130</v>
      </c>
      <c r="B114" s="16">
        <f>B$42*$B$105+B$43*$C$105+B$44*$D$105+B$45*$E$105+B$46*$F$105+B$47*$G$105+B$48*$H$105</f>
        <v>-43.1666666666667</v>
      </c>
      <c r="C114" s="16">
        <f t="shared" ref="C114:U114" si="20">C$42*$B$105+C$43*$C$105+C$44*$D$105+C$45*$E$105+C$46*$F$105+C$47*$G$105+C$48*$H$105</f>
        <v>-65.999999999999957</v>
      </c>
      <c r="D114" s="16">
        <f t="shared" si="20"/>
        <v>-25.999999999999961</v>
      </c>
      <c r="E114" s="16">
        <f t="shared" si="20"/>
        <v>-13.16666666666667</v>
      </c>
      <c r="F114" s="16">
        <f t="shared" si="20"/>
        <v>-27.666666666666629</v>
      </c>
      <c r="G114" s="16">
        <f t="shared" si="20"/>
        <v>-36.333333333333357</v>
      </c>
      <c r="H114" s="16">
        <f t="shared" si="20"/>
        <v>-22.333333333333339</v>
      </c>
      <c r="I114" s="16">
        <f t="shared" si="20"/>
        <v>-40.666666666666657</v>
      </c>
      <c r="J114" s="16">
        <f t="shared" si="20"/>
        <v>-33.999999999999957</v>
      </c>
      <c r="K114" s="16">
        <f t="shared" si="20"/>
        <v>-46.666666666666693</v>
      </c>
      <c r="L114" s="16">
        <f t="shared" si="20"/>
        <v>-9.5000000000000018</v>
      </c>
      <c r="M114" s="16">
        <f t="shared" si="20"/>
        <v>-25.333333333333371</v>
      </c>
      <c r="N114" s="16">
        <f t="shared" si="20"/>
        <v>-37.333333333333371</v>
      </c>
      <c r="O114" s="16">
        <f t="shared" si="20"/>
        <v>-22.333333333333393</v>
      </c>
      <c r="P114" s="16">
        <f t="shared" si="20"/>
        <v>-30.6666666666667</v>
      </c>
      <c r="Q114" s="16">
        <f t="shared" si="20"/>
        <v>-31.333333333333311</v>
      </c>
      <c r="R114" s="16">
        <f t="shared" si="20"/>
        <v>-15.333333333333348</v>
      </c>
      <c r="S114" s="16">
        <f t="shared" si="20"/>
        <v>-20.333333333333329</v>
      </c>
      <c r="T114" s="16">
        <f t="shared" si="20"/>
        <v>-27.500000000000039</v>
      </c>
      <c r="U114" s="16">
        <f t="shared" si="20"/>
        <v>-85</v>
      </c>
    </row>
    <row r="115" spans="1:22" ht="14.25" customHeight="1" x14ac:dyDescent="0.45">
      <c r="A115" s="1" t="s">
        <v>131</v>
      </c>
      <c r="B115" s="19">
        <f>B$42*$B$106+B$43*$C$106+B$44*$D$106+B$45*$E$106+B$46*$F$106+B$47*$G$106+B$48*$H$106</f>
        <v>-19.000000000000039</v>
      </c>
      <c r="C115" s="19">
        <f t="shared" ref="C115:U115" si="21">C$42*$B$106+C$43*$C$106+C$44*$D$106+C$45*$E$106+C$46*$F$106+C$47*$G$106+C$48*$H$106</f>
        <v>-59</v>
      </c>
      <c r="D115" s="19">
        <f t="shared" si="21"/>
        <v>-32.666666666666643</v>
      </c>
      <c r="E115" s="19">
        <f t="shared" si="21"/>
        <v>-12.66666666666667</v>
      </c>
      <c r="F115" s="19">
        <f t="shared" si="21"/>
        <v>-41.3333333333333</v>
      </c>
      <c r="G115" s="19">
        <f t="shared" si="21"/>
        <v>-32.333333333333371</v>
      </c>
      <c r="H115" s="19">
        <f t="shared" si="21"/>
        <v>-8.3333333333333393</v>
      </c>
      <c r="I115" s="19">
        <f t="shared" si="21"/>
        <v>-47.6666666666666</v>
      </c>
      <c r="J115" s="19">
        <f t="shared" si="21"/>
        <v>-16.3333333333333</v>
      </c>
      <c r="K115" s="19">
        <f t="shared" si="21"/>
        <v>-38.3333333333334</v>
      </c>
      <c r="L115" s="19">
        <f t="shared" si="21"/>
        <v>-14.66666666666667</v>
      </c>
      <c r="M115" s="19">
        <f t="shared" si="21"/>
        <v>-41</v>
      </c>
      <c r="N115" s="19">
        <f t="shared" si="21"/>
        <v>-54.6666666666667</v>
      </c>
      <c r="O115" s="19">
        <f t="shared" si="21"/>
        <v>-24.333333333333378</v>
      </c>
      <c r="P115" s="19">
        <f t="shared" si="21"/>
        <v>-30.333333333333371</v>
      </c>
      <c r="Q115" s="19">
        <f t="shared" si="21"/>
        <v>-40</v>
      </c>
      <c r="R115" s="19">
        <f t="shared" si="21"/>
        <v>-18.999999999999972</v>
      </c>
      <c r="S115" s="19">
        <f t="shared" si="21"/>
        <v>-28.3333333333333</v>
      </c>
      <c r="T115" s="19">
        <f t="shared" si="21"/>
        <v>-33.333333333333378</v>
      </c>
      <c r="U115" s="19">
        <f t="shared" si="21"/>
        <v>-44</v>
      </c>
    </row>
    <row r="116" spans="1:22" ht="14.25" customHeight="1" x14ac:dyDescent="0.45">
      <c r="A116" s="1" t="s">
        <v>132</v>
      </c>
      <c r="B116" s="16">
        <f>B$42*$B$107+B$43*$C$107+B$44*$D$107+B$45*$E$107+B$46*$F$107+B$47*$G$107+B$48*$H$107</f>
        <v>-42.5</v>
      </c>
      <c r="C116" s="16">
        <f t="shared" ref="C116:U116" si="22">C$42*$B$107+C$43*$C$107+C$44*$D$107+C$45*$E$107+C$46*$F$107+C$47*$G$107+C$48*$H$107</f>
        <v>-37.999999999999957</v>
      </c>
      <c r="D116" s="16">
        <f t="shared" si="22"/>
        <v>-19.333333333333361</v>
      </c>
      <c r="E116" s="16">
        <f t="shared" si="22"/>
        <v>-18.8333333333333</v>
      </c>
      <c r="F116" s="16">
        <f t="shared" si="22"/>
        <v>-13.666666666666631</v>
      </c>
      <c r="G116" s="16">
        <f t="shared" si="22"/>
        <v>-34.666666666666657</v>
      </c>
      <c r="H116" s="16">
        <f t="shared" si="22"/>
        <v>-29.666666666666629</v>
      </c>
      <c r="I116" s="16">
        <f t="shared" si="22"/>
        <v>-21.333333333333321</v>
      </c>
      <c r="J116" s="16">
        <f t="shared" si="22"/>
        <v>-33.666666666666686</v>
      </c>
      <c r="K116" s="16">
        <f t="shared" si="22"/>
        <v>-37.666666666666693</v>
      </c>
      <c r="L116" s="16">
        <f t="shared" si="22"/>
        <v>1.1666666666666696</v>
      </c>
      <c r="M116" s="16">
        <f t="shared" si="22"/>
        <v>-29.000000000000028</v>
      </c>
      <c r="N116" s="16">
        <f t="shared" si="22"/>
        <v>-14.333333333333369</v>
      </c>
      <c r="O116" s="16">
        <f t="shared" si="22"/>
        <v>-58.6666666666667</v>
      </c>
      <c r="P116" s="16">
        <f t="shared" si="22"/>
        <v>-12.6666666666667</v>
      </c>
      <c r="Q116" s="16">
        <f t="shared" si="22"/>
        <v>-17.999999999999972</v>
      </c>
      <c r="R116" s="16">
        <f t="shared" si="22"/>
        <v>-17.999999999999972</v>
      </c>
      <c r="S116" s="16">
        <f t="shared" si="22"/>
        <v>-16.666666666666629</v>
      </c>
      <c r="T116" s="16">
        <f t="shared" si="22"/>
        <v>-27.166666666666629</v>
      </c>
      <c r="U116" s="16">
        <f t="shared" si="22"/>
        <v>-61</v>
      </c>
    </row>
    <row r="119" spans="1:22" ht="21.75" customHeight="1" x14ac:dyDescent="0.5">
      <c r="A119" s="38" t="s">
        <v>134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4.25" customHeight="1" x14ac:dyDescent="0.45">
      <c r="A120" s="62" t="s">
        <v>116</v>
      </c>
      <c r="B120" s="66" t="s">
        <v>94</v>
      </c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</row>
    <row r="121" spans="1:22" ht="14.25" customHeight="1" x14ac:dyDescent="0.45">
      <c r="A121" s="62"/>
      <c r="B121" s="1" t="s">
        <v>95</v>
      </c>
      <c r="C121" s="1" t="s">
        <v>96</v>
      </c>
      <c r="D121" s="1" t="s">
        <v>97</v>
      </c>
      <c r="E121" s="1" t="s">
        <v>98</v>
      </c>
      <c r="F121" s="1" t="s">
        <v>99</v>
      </c>
      <c r="G121" s="1" t="s">
        <v>100</v>
      </c>
      <c r="H121" s="1" t="s">
        <v>101</v>
      </c>
      <c r="I121" s="1" t="s">
        <v>102</v>
      </c>
      <c r="J121" s="1" t="s">
        <v>103</v>
      </c>
      <c r="K121" s="1" t="s">
        <v>104</v>
      </c>
      <c r="L121" s="1" t="s">
        <v>105</v>
      </c>
      <c r="M121" s="1" t="s">
        <v>106</v>
      </c>
      <c r="N121" s="1" t="s">
        <v>107</v>
      </c>
      <c r="O121" s="1" t="s">
        <v>108</v>
      </c>
      <c r="P121" s="1" t="s">
        <v>109</v>
      </c>
      <c r="Q121" s="1" t="s">
        <v>110</v>
      </c>
      <c r="R121" s="1" t="s">
        <v>111</v>
      </c>
      <c r="S121" s="1" t="s">
        <v>112</v>
      </c>
      <c r="T121" s="1" t="s">
        <v>113</v>
      </c>
      <c r="U121" s="24" t="s">
        <v>114</v>
      </c>
      <c r="V121" s="42" t="s">
        <v>119</v>
      </c>
    </row>
    <row r="122" spans="1:22" ht="14.25" customHeight="1" x14ac:dyDescent="0.45">
      <c r="A122" s="1" t="s">
        <v>73</v>
      </c>
      <c r="B122" s="7" cm="1">
        <f t="array" ref="B122">EXP(B90)/(EXP(B90)+SUMPRODUCT(EXP($B$113:$B$116)))</f>
        <v>0.99999984294453315</v>
      </c>
      <c r="C122" s="7">
        <f t="shared" ref="C122:C130" si="23">EXP(C90)/(EXP(C90)+SUMPRODUCT(EXP($C$113:$C$116)))</f>
        <v>0.99999999998055078</v>
      </c>
      <c r="D122" s="7">
        <f t="shared" ref="D122:D130" si="24">EXP(D90)/(EXP(D90)+SUMPRODUCT(EXP($D$113:$D$116)))</f>
        <v>0.99995438724435304</v>
      </c>
      <c r="E122" s="7">
        <f t="shared" ref="E122:E130" si="25">EXP(E90)/(EXP(E90)+SUMPRODUCT(EXP($E$113:$E$116)))</f>
        <v>0.99602620141358877</v>
      </c>
      <c r="F122" s="7">
        <f t="shared" ref="F122:F130" si="26">EXP(F90)/(EXP(F90)+SUMPRODUCT(EXP($F$113:$F$116)))</f>
        <v>0.91149771191861417</v>
      </c>
      <c r="G122" s="7">
        <f t="shared" ref="G122:G130" si="27">EXP(G90)/(EXP(G90)+SUMPRODUCT(EXP($G$113:$G$116)))</f>
        <v>0.9999999999970498</v>
      </c>
      <c r="H122" s="7">
        <f t="shared" ref="H122:H130" si="28">EXP(H90)/(EXP(H90)+SUMPRODUCT(EXP($H$113:$H$116)))</f>
        <v>0.99822704393163586</v>
      </c>
      <c r="I122" s="7">
        <f t="shared" ref="I122:I130" si="29">EXP(I90)/(EXP(I90)+SUMPRODUCT(EXP($I$113:$I$116)))</f>
        <v>0.93473763367983853</v>
      </c>
      <c r="J122" s="7">
        <f t="shared" ref="J122:J130" si="30">EXP(J90)/(EXP(J90)+SUMPRODUCT(EXP($J$113:$J$116)))</f>
        <v>0.99996747058440316</v>
      </c>
      <c r="K122" s="7">
        <f t="shared" ref="K122:K130" si="31">EXP(K90)/(EXP(K90)+SUMPRODUCT(EXP($K$113:$K$116)))</f>
        <v>0.99999982913016716</v>
      </c>
      <c r="L122" s="7">
        <f t="shared" ref="L122:L130" si="32">EXP(L90)/(EXP(L90)+SUMPRODUCT(EXP($L$113:$L$116)))</f>
        <v>2.1175602731556317E-2</v>
      </c>
      <c r="M122" s="7">
        <f t="shared" ref="M122:M130" si="33">EXP(M90)/(EXP(M90)+SUMPRODUCT(EXP($M$113:$M$116)))</f>
        <v>0.99507303434963634</v>
      </c>
      <c r="N122" s="7">
        <f t="shared" ref="N122:N130" si="34">EXP(N90)/(EXP(N90)+SUMPRODUCT(EXP($N$113:$N$116)))</f>
        <v>2.4031171017243946E-4</v>
      </c>
      <c r="O122" s="7">
        <f t="shared" ref="O122:O130" si="35">EXP(O90)/(EXP(O90)+SUMPRODUCT(EXP($O$113:$O$116)))</f>
        <v>0.99999951530167042</v>
      </c>
      <c r="P122" s="7">
        <f t="shared" ref="P122:P130" si="36">EXP(P90)/(EXP(P90)+SUMPRODUCT(EXP($P$113:$P$116)))</f>
        <v>0.99687763544919339</v>
      </c>
      <c r="Q122" s="7">
        <f t="shared" ref="Q122:Q130" si="37">EXP(Q90)/(EXP(Q90)+SUMPRODUCT(EXP($Q$113:$Q$116)))</f>
        <v>0.99822588615921826</v>
      </c>
      <c r="R122" s="7">
        <f t="shared" ref="R122:R130" si="38">EXP(R90)/(EXP(R90)+SUMPRODUCT(EXP($R$113:$R$116)))</f>
        <v>0.99980828015169665</v>
      </c>
      <c r="S122" s="7">
        <f t="shared" ref="S122:S130" si="39">EXP(S90)/(EXP(S90)+SUMPRODUCT(EXP($S$113:$S$116)))</f>
        <v>0.97429101601235324</v>
      </c>
      <c r="T122" s="7">
        <f t="shared" ref="T122:T130" si="40">EXP(T90)/(EXP(T90)+SUMPRODUCT(EXP($T$113:$T$116)))</f>
        <v>0.9999999998195005</v>
      </c>
      <c r="U122" s="44">
        <f t="shared" ref="U122:U130" si="41">EXP(U90)/(EXP(U90)+SUMPRODUCT(EXP($U$113:$U$116)))</f>
        <v>0.99999999999998734</v>
      </c>
      <c r="V122" s="45">
        <f>AVERAGE(B122:U122)</f>
        <v>0.89130507012548588</v>
      </c>
    </row>
    <row r="123" spans="1:22" ht="14.25" customHeight="1" x14ac:dyDescent="0.45">
      <c r="A123" s="1" t="s">
        <v>74</v>
      </c>
      <c r="B123" s="7">
        <f t="shared" ref="B123:B130" si="42">EXP(B91)/(EXP(B91)+SUMPRODUCT(EXP($B$113:$B$116)))</f>
        <v>4.6795671564704347E-4</v>
      </c>
      <c r="C123" s="7">
        <f t="shared" si="23"/>
        <v>0.99822092299656773</v>
      </c>
      <c r="D123" s="7">
        <f t="shared" si="24"/>
        <v>0.88030035739594181</v>
      </c>
      <c r="E123" s="7">
        <f t="shared" si="25"/>
        <v>0.76686941233910233</v>
      </c>
      <c r="F123" s="7">
        <f t="shared" si="26"/>
        <v>1.7707036629538088E-3</v>
      </c>
      <c r="G123" s="7">
        <f t="shared" si="27"/>
        <v>0.63394026142198423</v>
      </c>
      <c r="H123" s="7">
        <f t="shared" si="28"/>
        <v>4.5397830905219635E-5</v>
      </c>
      <c r="I123" s="7">
        <f t="shared" si="29"/>
        <v>0.99653596223174867</v>
      </c>
      <c r="J123" s="7">
        <f t="shared" si="30"/>
        <v>6.1441741071014768E-6</v>
      </c>
      <c r="K123" s="7">
        <f t="shared" si="31"/>
        <v>0.64161109161689867</v>
      </c>
      <c r="L123" s="7">
        <f t="shared" si="32"/>
        <v>3.8422231951884985E-5</v>
      </c>
      <c r="M123" s="7">
        <f t="shared" si="33"/>
        <v>1.2393759147978545E-3</v>
      </c>
      <c r="N123" s="7">
        <f t="shared" si="34"/>
        <v>8.5748654792679374E-6</v>
      </c>
      <c r="O123" s="7">
        <f t="shared" si="35"/>
        <v>0.99997353705535774</v>
      </c>
      <c r="P123" s="7">
        <f t="shared" si="36"/>
        <v>0.44177471646489674</v>
      </c>
      <c r="Q123" s="7">
        <f t="shared" si="37"/>
        <v>0.9349910417889693</v>
      </c>
      <c r="R123" s="7">
        <f t="shared" si="38"/>
        <v>0.99898577622065265</v>
      </c>
      <c r="S123" s="7">
        <f t="shared" si="39"/>
        <v>0.78609341076771377</v>
      </c>
      <c r="T123" s="7">
        <f t="shared" si="40"/>
        <v>0.99999997321148959</v>
      </c>
      <c r="U123" s="44">
        <f t="shared" si="41"/>
        <v>2.2603241107519766E-6</v>
      </c>
      <c r="V123" s="45">
        <f t="shared" ref="V123:V130" si="43">AVERAGE(B123:U123)</f>
        <v>0.50414376496156388</v>
      </c>
    </row>
    <row r="124" spans="1:22" ht="14.25" customHeight="1" x14ac:dyDescent="0.45">
      <c r="A124" s="1" t="s">
        <v>75</v>
      </c>
      <c r="B124" s="7">
        <f t="shared" si="42"/>
        <v>6.224144489639211E-11</v>
      </c>
      <c r="C124" s="7">
        <f t="shared" si="23"/>
        <v>0.49913664880525277</v>
      </c>
      <c r="D124" s="7">
        <f t="shared" si="24"/>
        <v>0.49881938661026443</v>
      </c>
      <c r="E124" s="7">
        <f t="shared" si="25"/>
        <v>1.3019159042772534E-3</v>
      </c>
      <c r="F124" s="7">
        <f t="shared" si="26"/>
        <v>0.49968183625249502</v>
      </c>
      <c r="G124" s="7">
        <f t="shared" si="27"/>
        <v>7.9377010661975167E-2</v>
      </c>
      <c r="H124" s="7">
        <f t="shared" si="28"/>
        <v>5.4331374342513961E-10</v>
      </c>
      <c r="I124" s="7">
        <f t="shared" si="29"/>
        <v>4.7817776272071752E-3</v>
      </c>
      <c r="J124" s="7">
        <f t="shared" si="30"/>
        <v>2.9663946722987337E-8</v>
      </c>
      <c r="K124" s="7">
        <f t="shared" si="31"/>
        <v>0.39708247955215514</v>
      </c>
      <c r="L124" s="7">
        <f t="shared" si="32"/>
        <v>0.49995769520398164</v>
      </c>
      <c r="M124" s="7">
        <f t="shared" si="33"/>
        <v>2.4318301822986277E-2</v>
      </c>
      <c r="N124" s="7">
        <f t="shared" si="34"/>
        <v>0.49999999724615607</v>
      </c>
      <c r="O124" s="7">
        <f t="shared" si="35"/>
        <v>1.4638941975996385E-16</v>
      </c>
      <c r="P124" s="7">
        <f t="shared" si="36"/>
        <v>0.44177471646488192</v>
      </c>
      <c r="Q124" s="7">
        <f t="shared" si="37"/>
        <v>0.49983630064860629</v>
      </c>
      <c r="R124" s="7">
        <f t="shared" si="38"/>
        <v>5.8742697130030511E-2</v>
      </c>
      <c r="S124" s="7">
        <f t="shared" si="39"/>
        <v>0.49205138830628842</v>
      </c>
      <c r="T124" s="7">
        <f t="shared" si="40"/>
        <v>0.25641091769681068</v>
      </c>
      <c r="U124" s="44">
        <f t="shared" si="41"/>
        <v>4.1399372046127004E-8</v>
      </c>
      <c r="V124" s="45">
        <f t="shared" si="43"/>
        <v>0.23766365708011214</v>
      </c>
    </row>
    <row r="125" spans="1:22" ht="14.25" customHeight="1" x14ac:dyDescent="0.45">
      <c r="A125" s="1" t="s">
        <v>76</v>
      </c>
      <c r="B125" s="7" cm="1">
        <f t="array" ref="B125">EXP(B93)/(EXP(B93)+SUMPRODUCT(EXP($B$113:$B$116)))</f>
        <v>5.5277862512868251E-4</v>
      </c>
      <c r="C125" s="7">
        <f t="shared" si="23"/>
        <v>1.0226502292628655E-10</v>
      </c>
      <c r="D125" s="7">
        <f t="shared" si="24"/>
        <v>4.5183994069293973E-5</v>
      </c>
      <c r="E125" s="7">
        <f t="shared" si="25"/>
        <v>0.99530889249441845</v>
      </c>
      <c r="F125" s="7">
        <f t="shared" si="26"/>
        <v>4.5340132237157886E-5</v>
      </c>
      <c r="G125" s="7">
        <f t="shared" si="27"/>
        <v>0.99999869480681025</v>
      </c>
      <c r="H125" s="7">
        <f t="shared" si="28"/>
        <v>8.8399610110655988E-2</v>
      </c>
      <c r="I125" s="7">
        <f t="shared" si="29"/>
        <v>1.9891377702653145E-10</v>
      </c>
      <c r="J125" s="7">
        <f t="shared" si="30"/>
        <v>6.5296528496910076E-4</v>
      </c>
      <c r="K125" s="7">
        <f t="shared" si="31"/>
        <v>0.99999953552777465</v>
      </c>
      <c r="L125" s="7">
        <f t="shared" si="32"/>
        <v>0.26890815215988323</v>
      </c>
      <c r="M125" s="7">
        <f t="shared" si="33"/>
        <v>6.3452587408826533E-2</v>
      </c>
      <c r="N125" s="7">
        <f t="shared" si="34"/>
        <v>1.5628821721192511E-18</v>
      </c>
      <c r="O125" s="7">
        <f t="shared" si="35"/>
        <v>2.8651922997918202E-5</v>
      </c>
      <c r="P125" s="7">
        <f t="shared" si="36"/>
        <v>2.6541179333577415E-4</v>
      </c>
      <c r="Q125" s="7">
        <f t="shared" si="37"/>
        <v>2.0598044218764242E-9</v>
      </c>
      <c r="R125" s="7">
        <f t="shared" si="38"/>
        <v>0.90255577302444423</v>
      </c>
      <c r="S125" s="7">
        <f t="shared" si="39"/>
        <v>6.484743683324308E-3</v>
      </c>
      <c r="T125" s="7">
        <f t="shared" si="40"/>
        <v>0.87383408877750179</v>
      </c>
      <c r="U125" s="44">
        <f t="shared" si="41"/>
        <v>1.7986208499641602E-2</v>
      </c>
      <c r="V125" s="45">
        <f t="shared" si="43"/>
        <v>0.26092593103035</v>
      </c>
    </row>
    <row r="126" spans="1:22" ht="14.25" customHeight="1" x14ac:dyDescent="0.45">
      <c r="A126" s="1" t="s">
        <v>77</v>
      </c>
      <c r="B126" s="7">
        <f t="shared" si="42"/>
        <v>1.6195941346458256E-6</v>
      </c>
      <c r="C126" s="7">
        <f t="shared" si="23"/>
        <v>1.4717896274080305E-9</v>
      </c>
      <c r="D126" s="7">
        <f t="shared" si="24"/>
        <v>0.11870798473506798</v>
      </c>
      <c r="E126" s="7">
        <f t="shared" si="25"/>
        <v>0.62809456091092786</v>
      </c>
      <c r="F126" s="7">
        <f t="shared" si="26"/>
        <v>3.1505217864415695E-6</v>
      </c>
      <c r="G126" s="7">
        <f t="shared" si="27"/>
        <v>0.63394026142198423</v>
      </c>
      <c r="H126" s="7">
        <f t="shared" si="28"/>
        <v>2.330853843481019E-5</v>
      </c>
      <c r="I126" s="7">
        <f t="shared" si="29"/>
        <v>2.1813539601586423E-7</v>
      </c>
      <c r="J126" s="7">
        <f t="shared" si="30"/>
        <v>1.722025832448055E-4</v>
      </c>
      <c r="K126" s="7">
        <f t="shared" si="31"/>
        <v>2.208874414195363E-4</v>
      </c>
      <c r="L126" s="7">
        <f t="shared" si="32"/>
        <v>2.4345532804759326E-9</v>
      </c>
      <c r="M126" s="7">
        <f t="shared" si="33"/>
        <v>0.98671954997153422</v>
      </c>
      <c r="N126" s="7">
        <f t="shared" si="34"/>
        <v>4.0145790139278055E-9</v>
      </c>
      <c r="O126" s="7">
        <f t="shared" si="35"/>
        <v>0.9999999344031868</v>
      </c>
      <c r="P126" s="7">
        <f t="shared" si="36"/>
        <v>1.2052875605675862E-8</v>
      </c>
      <c r="Q126" s="7">
        <f t="shared" si="37"/>
        <v>6.3315222156225761E-5</v>
      </c>
      <c r="R126" s="7">
        <f t="shared" si="38"/>
        <v>0.82625053547637228</v>
      </c>
      <c r="S126" s="7">
        <f t="shared" si="39"/>
        <v>0.40971819631896117</v>
      </c>
      <c r="T126" s="7">
        <f t="shared" si="40"/>
        <v>0.80772464531752364</v>
      </c>
      <c r="U126" s="44">
        <f t="shared" si="41"/>
        <v>3.4424768234370644E-14</v>
      </c>
      <c r="V126" s="45">
        <f t="shared" si="43"/>
        <v>0.27058201952829808</v>
      </c>
    </row>
    <row r="127" spans="1:22" ht="14.25" customHeight="1" x14ac:dyDescent="0.45">
      <c r="A127" s="1" t="s">
        <v>78</v>
      </c>
      <c r="B127" s="7">
        <f t="shared" si="42"/>
        <v>2.6230937136609852E-12</v>
      </c>
      <c r="C127" s="7">
        <f t="shared" si="23"/>
        <v>1.4645994395831221E-20</v>
      </c>
      <c r="D127" s="7">
        <f t="shared" si="24"/>
        <v>5.5763997888649634E-9</v>
      </c>
      <c r="E127" s="7">
        <f t="shared" si="25"/>
        <v>3.7017772838847399E-7</v>
      </c>
      <c r="F127" s="7">
        <f t="shared" si="26"/>
        <v>2.7015617572942468E-11</v>
      </c>
      <c r="G127" s="7">
        <f t="shared" si="27"/>
        <v>2.8923077889402109E-5</v>
      </c>
      <c r="H127" s="7">
        <f t="shared" si="28"/>
        <v>3.7751314009043321E-11</v>
      </c>
      <c r="I127" s="7">
        <f t="shared" si="29"/>
        <v>1.2221684862967183E-15</v>
      </c>
      <c r="J127" s="7">
        <f t="shared" si="30"/>
        <v>2.0611534520960276E-9</v>
      </c>
      <c r="K127" s="7">
        <f t="shared" si="31"/>
        <v>1.5276415854140455E-16</v>
      </c>
      <c r="L127" s="7">
        <f t="shared" si="32"/>
        <v>6.4174127847422784E-10</v>
      </c>
      <c r="M127" s="7">
        <f t="shared" si="33"/>
        <v>6.9525878300524195E-12</v>
      </c>
      <c r="N127" s="7">
        <f t="shared" si="34"/>
        <v>7.3170362944954062E-22</v>
      </c>
      <c r="O127" s="7">
        <f t="shared" si="35"/>
        <v>7.992591503319487E-15</v>
      </c>
      <c r="P127" s="7">
        <f t="shared" si="36"/>
        <v>4.0432893731787327E-12</v>
      </c>
      <c r="Q127" s="7">
        <f t="shared" si="37"/>
        <v>2.4650280115802236E-14</v>
      </c>
      <c r="R127" s="7">
        <f t="shared" si="38"/>
        <v>1.0107701043815101E-7</v>
      </c>
      <c r="S127" s="7">
        <f t="shared" si="39"/>
        <v>2.7865437871329501E-9</v>
      </c>
      <c r="T127" s="7">
        <f t="shared" si="40"/>
        <v>1.1718205523623796E-9</v>
      </c>
      <c r="U127" s="44">
        <f t="shared" si="41"/>
        <v>3.8739973079250351E-21</v>
      </c>
      <c r="V127" s="45">
        <f t="shared" si="43"/>
        <v>1.4703324353503995E-6</v>
      </c>
    </row>
    <row r="128" spans="1:22" ht="14.25" customHeight="1" x14ac:dyDescent="0.45">
      <c r="A128" s="1" t="s">
        <v>79</v>
      </c>
      <c r="B128" s="7">
        <f t="shared" si="42"/>
        <v>0.96555480362373691</v>
      </c>
      <c r="C128" s="7">
        <f t="shared" si="23"/>
        <v>4.6634421959104955E-4</v>
      </c>
      <c r="D128" s="7">
        <f t="shared" si="24"/>
        <v>1.7902988089203917E-2</v>
      </c>
      <c r="E128" s="7">
        <f t="shared" si="25"/>
        <v>0.99795583120942544</v>
      </c>
      <c r="F128" s="7">
        <f t="shared" si="26"/>
        <v>8.0532414495625026E-8</v>
      </c>
      <c r="G128" s="7">
        <f t="shared" si="27"/>
        <v>0.9961243479784001</v>
      </c>
      <c r="H128" s="7">
        <f t="shared" si="28"/>
        <v>0.88079699055862049</v>
      </c>
      <c r="I128" s="7">
        <f t="shared" si="29"/>
        <v>1.0860324125967822E-8</v>
      </c>
      <c r="J128" s="7">
        <f t="shared" si="30"/>
        <v>0.99752737664460633</v>
      </c>
      <c r="K128" s="7">
        <f t="shared" si="31"/>
        <v>0.99999999884868784</v>
      </c>
      <c r="L128" s="7">
        <f t="shared" si="32"/>
        <v>1.91300013133329E-6</v>
      </c>
      <c r="M128" s="7">
        <f t="shared" si="33"/>
        <v>0.98671954997153477</v>
      </c>
      <c r="N128" s="7">
        <f t="shared" si="34"/>
        <v>2.1255148279616387E-8</v>
      </c>
      <c r="O128" s="7">
        <f t="shared" si="35"/>
        <v>0.99608781217748077</v>
      </c>
      <c r="P128" s="7">
        <f t="shared" si="36"/>
        <v>1.3217408500710945E-5</v>
      </c>
      <c r="Q128" s="7">
        <f t="shared" si="37"/>
        <v>3.2508120463888438E-5</v>
      </c>
      <c r="R128" s="7">
        <f t="shared" si="38"/>
        <v>0.94748025830704041</v>
      </c>
      <c r="S128" s="7">
        <f t="shared" si="39"/>
        <v>0.78609341076771888</v>
      </c>
      <c r="T128" s="7">
        <f t="shared" si="40"/>
        <v>2.7526135413164187E-2</v>
      </c>
      <c r="U128" s="44">
        <f t="shared" si="41"/>
        <v>0.99999385582488909</v>
      </c>
      <c r="V128" s="45">
        <f t="shared" si="43"/>
        <v>0.53001387274055423</v>
      </c>
    </row>
    <row r="129" spans="1:23" ht="14.25" customHeight="1" x14ac:dyDescent="0.45">
      <c r="A129" s="1" t="s">
        <v>80</v>
      </c>
      <c r="B129" s="7">
        <f t="shared" si="42"/>
        <v>7.6812045212133148E-15</v>
      </c>
      <c r="C129" s="7">
        <f t="shared" si="23"/>
        <v>3.8606422075999909E-21</v>
      </c>
      <c r="D129" s="7">
        <f t="shared" si="24"/>
        <v>1.3822513191500235E-11</v>
      </c>
      <c r="E129" s="7">
        <f t="shared" si="25"/>
        <v>2.3875936696179437E-5</v>
      </c>
      <c r="F129" s="7">
        <f t="shared" si="26"/>
        <v>1.5608944443746927E-18</v>
      </c>
      <c r="G129" s="7">
        <f t="shared" si="27"/>
        <v>1.6205480488506364E-13</v>
      </c>
      <c r="H129" s="7">
        <f t="shared" si="28"/>
        <v>1.0912748141281498E-8</v>
      </c>
      <c r="I129" s="7">
        <f t="shared" si="29"/>
        <v>2.7625033698620956E-21</v>
      </c>
      <c r="J129" s="7">
        <f t="shared" si="30"/>
        <v>4.9543837712158421E-13</v>
      </c>
      <c r="K129" s="7">
        <f t="shared" si="31"/>
        <v>8.3406404477315189E-15</v>
      </c>
      <c r="L129" s="7">
        <f t="shared" si="32"/>
        <v>1.1251612056002844E-7</v>
      </c>
      <c r="M129" s="7">
        <f t="shared" si="33"/>
        <v>8.580175020081786E-16</v>
      </c>
      <c r="N129" s="7">
        <f t="shared" si="34"/>
        <v>1.4251640670422145E-21</v>
      </c>
      <c r="O129" s="7">
        <f t="shared" si="35"/>
        <v>3.5360295054214986E-9</v>
      </c>
      <c r="P129" s="7">
        <f t="shared" si="36"/>
        <v>2.0130352445430074E-13</v>
      </c>
      <c r="Q129" s="7">
        <f t="shared" si="37"/>
        <v>9.3514976270255211E-14</v>
      </c>
      <c r="R129" s="7">
        <f t="shared" si="38"/>
        <v>2.0935366915427988E-5</v>
      </c>
      <c r="S129" s="7">
        <f t="shared" si="39"/>
        <v>2.7021663525856878E-10</v>
      </c>
      <c r="T129" s="7">
        <f t="shared" si="40"/>
        <v>1.0548391351940163E-7</v>
      </c>
      <c r="U129" s="44">
        <f t="shared" si="41"/>
        <v>1.75879205679852E-25</v>
      </c>
      <c r="V129" s="46">
        <f t="shared" si="43"/>
        <v>2.2522018715837564E-6</v>
      </c>
    </row>
    <row r="130" spans="1:23" ht="14.25" customHeight="1" x14ac:dyDescent="0.45">
      <c r="A130" s="1" t="s">
        <v>81</v>
      </c>
      <c r="B130" s="7">
        <f t="shared" si="42"/>
        <v>3.3382377240957114E-15</v>
      </c>
      <c r="C130" s="7">
        <f t="shared" si="23"/>
        <v>5.066602108292672E-23</v>
      </c>
      <c r="D130" s="7">
        <f t="shared" si="24"/>
        <v>2.5316816015371822E-13</v>
      </c>
      <c r="E130" s="7">
        <f t="shared" si="25"/>
        <v>1.404329911221234E-6</v>
      </c>
      <c r="F130" s="7">
        <f t="shared" si="26"/>
        <v>1.1893681099800886E-16</v>
      </c>
      <c r="G130" s="7">
        <f t="shared" si="27"/>
        <v>2.1931732918977786E-14</v>
      </c>
      <c r="H130" s="7">
        <f t="shared" si="28"/>
        <v>9.6498146666694236E-13</v>
      </c>
      <c r="I130" s="7">
        <f t="shared" si="29"/>
        <v>1.2221684862967183E-15</v>
      </c>
      <c r="J130" s="7">
        <f t="shared" si="30"/>
        <v>9.6498219236406297E-13</v>
      </c>
      <c r="K130" s="7">
        <f t="shared" si="31"/>
        <v>1.8371483149498225E-10</v>
      </c>
      <c r="L130" s="7">
        <f t="shared" si="32"/>
        <v>8.9562210170189495E-10</v>
      </c>
      <c r="M130" s="7">
        <f t="shared" si="33"/>
        <v>4.2718176033306272E-17</v>
      </c>
      <c r="N130" s="7">
        <f t="shared" si="34"/>
        <v>1.3820096411072311E-22</v>
      </c>
      <c r="O130" s="7">
        <f t="shared" si="35"/>
        <v>2.4449522876885919E-21</v>
      </c>
      <c r="P130" s="7">
        <f t="shared" si="36"/>
        <v>1.0990800030237263E-11</v>
      </c>
      <c r="Q130" s="7">
        <f t="shared" si="37"/>
        <v>3.2350358952941693E-16</v>
      </c>
      <c r="R130" s="7">
        <f t="shared" si="38"/>
        <v>7.2424844833260646E-8</v>
      </c>
      <c r="S130" s="7">
        <f t="shared" si="39"/>
        <v>1.4306592851878307E-9</v>
      </c>
      <c r="T130" s="7">
        <f t="shared" si="40"/>
        <v>5.320057083382731E-14</v>
      </c>
      <c r="U130" s="44">
        <f t="shared" si="41"/>
        <v>5.2428852292590971E-22</v>
      </c>
      <c r="V130" s="47">
        <f t="shared" si="43"/>
        <v>7.3963900319130033E-8</v>
      </c>
      <c r="W130" s="48"/>
    </row>
    <row r="131" spans="1:23" ht="14.25" customHeight="1" x14ac:dyDescent="0.45">
      <c r="A131" s="20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 spans="1:23" ht="14.25" customHeight="1" x14ac:dyDescent="0.45">
      <c r="A132" s="9"/>
    </row>
    <row r="133" spans="1:23" ht="21.75" customHeight="1" x14ac:dyDescent="0.5">
      <c r="A133" s="4" t="s">
        <v>135</v>
      </c>
      <c r="B133" s="5"/>
      <c r="C133" s="5"/>
    </row>
    <row r="134" spans="1:23" ht="14.25" customHeight="1" x14ac:dyDescent="0.45">
      <c r="A134" s="1" t="s">
        <v>94</v>
      </c>
      <c r="B134" s="1" t="s">
        <v>136</v>
      </c>
      <c r="C134" s="1" t="s">
        <v>137</v>
      </c>
    </row>
    <row r="135" spans="1:23" ht="14.25" customHeight="1" x14ac:dyDescent="0.45">
      <c r="A135" s="6">
        <v>1</v>
      </c>
      <c r="B135" s="6" t="s">
        <v>131</v>
      </c>
      <c r="C135" s="6" t="s">
        <v>131</v>
      </c>
    </row>
    <row r="136" spans="1:23" ht="14.25" customHeight="1" x14ac:dyDescent="0.45">
      <c r="A136" s="6">
        <v>2</v>
      </c>
      <c r="B136" s="6" t="s">
        <v>132</v>
      </c>
      <c r="C136" s="6" t="s">
        <v>132</v>
      </c>
    </row>
    <row r="137" spans="1:23" ht="14.25" customHeight="1" x14ac:dyDescent="0.45">
      <c r="A137" s="6">
        <v>3</v>
      </c>
      <c r="B137" s="6" t="s">
        <v>132</v>
      </c>
      <c r="C137" s="6" t="s">
        <v>132</v>
      </c>
    </row>
    <row r="138" spans="1:23" ht="14.25" customHeight="1" x14ac:dyDescent="0.45">
      <c r="A138" s="6">
        <v>4</v>
      </c>
      <c r="B138" s="6" t="s">
        <v>131</v>
      </c>
      <c r="C138" s="6" t="s">
        <v>131</v>
      </c>
    </row>
    <row r="139" spans="1:23" ht="14.25" customHeight="1" x14ac:dyDescent="0.45">
      <c r="A139" s="6">
        <v>5</v>
      </c>
      <c r="B139" s="6" t="s">
        <v>132</v>
      </c>
      <c r="C139" s="6" t="s">
        <v>132</v>
      </c>
    </row>
    <row r="140" spans="1:23" ht="14.25" customHeight="1" x14ac:dyDescent="0.45">
      <c r="A140" s="6">
        <v>6</v>
      </c>
      <c r="B140" s="6" t="s">
        <v>131</v>
      </c>
      <c r="C140" s="6" t="s">
        <v>131</v>
      </c>
    </row>
    <row r="141" spans="1:23" ht="14.25" customHeight="1" x14ac:dyDescent="0.45">
      <c r="A141" s="6">
        <v>7</v>
      </c>
      <c r="B141" s="6" t="s">
        <v>131</v>
      </c>
      <c r="C141" s="6" t="s">
        <v>131</v>
      </c>
    </row>
    <row r="142" spans="1:23" ht="14.25" customHeight="1" x14ac:dyDescent="0.45">
      <c r="A142" s="6">
        <v>8</v>
      </c>
      <c r="B142" s="6" t="s">
        <v>129</v>
      </c>
      <c r="C142" s="6" t="s">
        <v>129</v>
      </c>
    </row>
    <row r="143" spans="1:23" ht="14.25" customHeight="1" x14ac:dyDescent="0.45">
      <c r="A143" s="6">
        <v>9</v>
      </c>
      <c r="B143" s="6" t="s">
        <v>131</v>
      </c>
      <c r="C143" s="6" t="s">
        <v>131</v>
      </c>
    </row>
    <row r="144" spans="1:23" ht="14.25" customHeight="1" x14ac:dyDescent="0.45">
      <c r="A144" s="6">
        <v>10</v>
      </c>
      <c r="B144" s="6" t="s">
        <v>131</v>
      </c>
      <c r="C144" s="22" t="s">
        <v>132</v>
      </c>
    </row>
    <row r="145" spans="1:3" ht="14.25" customHeight="1" x14ac:dyDescent="0.45">
      <c r="A145" s="6">
        <v>11</v>
      </c>
      <c r="B145" s="6" t="s">
        <v>132</v>
      </c>
      <c r="C145" s="6" t="s">
        <v>132</v>
      </c>
    </row>
    <row r="146" spans="1:3" ht="14.25" customHeight="1" x14ac:dyDescent="0.45">
      <c r="A146" s="6">
        <v>12</v>
      </c>
      <c r="B146" s="6" t="s">
        <v>130</v>
      </c>
      <c r="C146" s="6" t="s">
        <v>130</v>
      </c>
    </row>
    <row r="147" spans="1:3" ht="14.25" customHeight="1" x14ac:dyDescent="0.45">
      <c r="A147" s="6">
        <v>13</v>
      </c>
      <c r="B147" s="6" t="s">
        <v>132</v>
      </c>
      <c r="C147" s="6" t="s">
        <v>132</v>
      </c>
    </row>
    <row r="148" spans="1:3" ht="14.25" customHeight="1" x14ac:dyDescent="0.45">
      <c r="A148" s="6">
        <v>14</v>
      </c>
      <c r="B148" s="6" t="s">
        <v>130</v>
      </c>
      <c r="C148" s="6" t="s">
        <v>130</v>
      </c>
    </row>
    <row r="149" spans="1:3" ht="14.25" customHeight="1" x14ac:dyDescent="0.45">
      <c r="A149" s="6">
        <v>15</v>
      </c>
      <c r="B149" s="6" t="s">
        <v>132</v>
      </c>
      <c r="C149" s="6" t="s">
        <v>132</v>
      </c>
    </row>
    <row r="150" spans="1:3" ht="14.25" customHeight="1" x14ac:dyDescent="0.45">
      <c r="A150" s="6">
        <v>16</v>
      </c>
      <c r="B150" s="6" t="s">
        <v>132</v>
      </c>
      <c r="C150" s="6" t="s">
        <v>132</v>
      </c>
    </row>
    <row r="151" spans="1:3" ht="14.25" customHeight="1" x14ac:dyDescent="0.45">
      <c r="A151" s="6">
        <v>17</v>
      </c>
      <c r="B151" s="6" t="s">
        <v>129</v>
      </c>
      <c r="C151" s="22" t="s">
        <v>130</v>
      </c>
    </row>
    <row r="152" spans="1:3" ht="14.25" customHeight="1" x14ac:dyDescent="0.45">
      <c r="A152" s="6">
        <v>18</v>
      </c>
      <c r="B152" s="6" t="s">
        <v>132</v>
      </c>
      <c r="C152" s="6" t="s">
        <v>132</v>
      </c>
    </row>
    <row r="153" spans="1:3" ht="14.25" customHeight="1" x14ac:dyDescent="0.45">
      <c r="A153" s="6">
        <v>19</v>
      </c>
      <c r="B153" s="6" t="s">
        <v>131</v>
      </c>
      <c r="C153" s="22" t="s">
        <v>129</v>
      </c>
    </row>
    <row r="154" spans="1:3" ht="14.25" customHeight="1" x14ac:dyDescent="0.45">
      <c r="A154" s="6">
        <v>20</v>
      </c>
      <c r="B154" s="6" t="s">
        <v>131</v>
      </c>
      <c r="C154" s="6" t="s">
        <v>131</v>
      </c>
    </row>
    <row r="155" spans="1:3" ht="14.25" customHeight="1" x14ac:dyDescent="0.45">
      <c r="A155" s="65" t="s">
        <v>145</v>
      </c>
      <c r="B155" s="65"/>
      <c r="C155" s="18">
        <f>SUMPRODUCT(--(B135:B154&lt;&gt;C135:C154))</f>
        <v>3</v>
      </c>
    </row>
    <row r="156" spans="1:3" ht="14.25" customHeight="1" x14ac:dyDescent="0.45">
      <c r="A156" s="65" t="s">
        <v>138</v>
      </c>
      <c r="B156" s="65"/>
      <c r="C156" s="23">
        <f>1-C155/20</f>
        <v>0.85</v>
      </c>
    </row>
  </sheetData>
  <mergeCells count="24">
    <mergeCell ref="A156:B156"/>
    <mergeCell ref="B88:V88"/>
    <mergeCell ref="B120:V120"/>
    <mergeCell ref="A111:A112"/>
    <mergeCell ref="B111:U111"/>
    <mergeCell ref="A120:A121"/>
    <mergeCell ref="A155:B155"/>
    <mergeCell ref="A77:A78"/>
    <mergeCell ref="B77:D77"/>
    <mergeCell ref="A88:A89"/>
    <mergeCell ref="A102:A103"/>
    <mergeCell ref="B102:H102"/>
    <mergeCell ref="A52:A53"/>
    <mergeCell ref="B52:U52"/>
    <mergeCell ref="A62:A63"/>
    <mergeCell ref="B62:U62"/>
    <mergeCell ref="A71:A73"/>
    <mergeCell ref="B71:U71"/>
    <mergeCell ref="A1:R1"/>
    <mergeCell ref="B12:H12"/>
    <mergeCell ref="A26:A27"/>
    <mergeCell ref="B26:U26"/>
    <mergeCell ref="A40:A41"/>
    <mergeCell ref="B40:U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"/>
  <sheetViews>
    <sheetView showGridLines="0" tabSelected="1" topLeftCell="L1" zoomScale="70" zoomScaleNormal="98" workbookViewId="0">
      <selection activeCell="F16" sqref="F16"/>
    </sheetView>
  </sheetViews>
  <sheetFormatPr defaultColWidth="8.6640625" defaultRowHeight="14.25" x14ac:dyDescent="0.45"/>
  <cols>
    <col min="1" max="1" width="30" customWidth="1"/>
    <col min="2" max="2" width="19.59765625" customWidth="1"/>
    <col min="3" max="3" width="32" customWidth="1"/>
    <col min="4" max="4" width="14" customWidth="1"/>
  </cols>
  <sheetData>
    <row r="1" spans="1:25" ht="30" customHeight="1" x14ac:dyDescent="0.4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3" spans="1:25" ht="21.75" customHeight="1" x14ac:dyDescent="0.45">
      <c r="A3" s="56" t="s">
        <v>141</v>
      </c>
      <c r="B3" s="56"/>
    </row>
    <row r="4" spans="1:25" ht="15" customHeight="1" x14ac:dyDescent="0.45">
      <c r="A4" s="37" t="s">
        <v>1</v>
      </c>
      <c r="B4" s="37" t="s">
        <v>2</v>
      </c>
    </row>
    <row r="5" spans="1:25" ht="15" customHeight="1" x14ac:dyDescent="0.45">
      <c r="A5" s="39" t="s">
        <v>5</v>
      </c>
      <c r="B5" s="7">
        <f>'Data and Analysis'!V64</f>
        <v>0.35906103499855507</v>
      </c>
    </row>
    <row r="6" spans="1:25" ht="15" customHeight="1" x14ac:dyDescent="0.45">
      <c r="A6" s="39" t="s">
        <v>4</v>
      </c>
      <c r="B6" s="7">
        <f>'Data and Analysis'!V65</f>
        <v>0.37674921065228406</v>
      </c>
    </row>
    <row r="7" spans="1:25" ht="15" customHeight="1" x14ac:dyDescent="0.45">
      <c r="A7" s="39" t="s">
        <v>7</v>
      </c>
      <c r="B7" s="7">
        <f>'Data and Analysis'!V66</f>
        <v>8.9393067993258038E-2</v>
      </c>
    </row>
    <row r="8" spans="1:25" ht="15" customHeight="1" x14ac:dyDescent="0.45">
      <c r="A8" s="39" t="s">
        <v>6</v>
      </c>
      <c r="B8" s="7">
        <f>'Data and Analysis'!V67</f>
        <v>0.17479668635590281</v>
      </c>
    </row>
    <row r="9" spans="1:25" x14ac:dyDescent="0.45">
      <c r="B9" s="40"/>
    </row>
    <row r="11" spans="1:25" ht="21.75" customHeight="1" x14ac:dyDescent="0.45">
      <c r="A11" s="56" t="s">
        <v>139</v>
      </c>
      <c r="B11" s="56"/>
      <c r="C11" s="56"/>
      <c r="D11" s="56"/>
    </row>
    <row r="12" spans="1:25" ht="15" customHeight="1" x14ac:dyDescent="0.45">
      <c r="A12" s="37" t="s">
        <v>1</v>
      </c>
      <c r="B12" s="37" t="s">
        <v>8</v>
      </c>
      <c r="C12" s="37" t="s">
        <v>9</v>
      </c>
      <c r="D12" s="37" t="s">
        <v>10</v>
      </c>
    </row>
    <row r="13" spans="1:25" ht="15" customHeight="1" x14ac:dyDescent="0.45">
      <c r="A13" s="39" t="s">
        <v>5</v>
      </c>
      <c r="B13" s="7">
        <f>'Data and Analysis'!B79</f>
        <v>0.24835226449619588</v>
      </c>
      <c r="C13" s="7">
        <f>'Data and Analysis'!C79</f>
        <v>0.49338757794258981</v>
      </c>
      <c r="D13" s="7">
        <f>'Data and Analysis'!D79</f>
        <v>0.33298323198820695</v>
      </c>
    </row>
    <row r="14" spans="1:25" ht="15" customHeight="1" x14ac:dyDescent="0.45">
      <c r="A14" s="39" t="s">
        <v>4</v>
      </c>
      <c r="B14" s="7">
        <f>'Data and Analysis'!B80</f>
        <v>0.50240076513004872</v>
      </c>
      <c r="C14" s="7">
        <f>'Data and Analysis'!C80</f>
        <v>0.26076163912798311</v>
      </c>
      <c r="D14" s="7">
        <f>'Data and Analysis'!D80</f>
        <v>0.30909473795045933</v>
      </c>
    </row>
    <row r="15" spans="1:25" ht="15" customHeight="1" x14ac:dyDescent="0.45">
      <c r="A15" s="39" t="s">
        <v>7</v>
      </c>
      <c r="B15" s="7">
        <f>'Data and Analysis'!B81</f>
        <v>9.8718222207363815E-2</v>
      </c>
      <c r="C15" s="7">
        <f>'Data and Analysis'!C81</f>
        <v>6.1223335403003766E-2</v>
      </c>
      <c r="D15" s="7">
        <f>'Data and Analysis'!D81</f>
        <v>0.1365368922582853</v>
      </c>
    </row>
    <row r="16" spans="1:25" ht="15" customHeight="1" x14ac:dyDescent="0.45">
      <c r="A16" s="39" t="s">
        <v>6</v>
      </c>
      <c r="B16" s="7">
        <f>'Data and Analysis'!B82</f>
        <v>0.15052874816639161</v>
      </c>
      <c r="C16" s="7">
        <f>'Data and Analysis'!C82</f>
        <v>0.18462744752642332</v>
      </c>
      <c r="D16" s="7">
        <f>'Data and Analysis'!D82</f>
        <v>0.22138513780304839</v>
      </c>
    </row>
    <row r="17" spans="1:9" ht="15" customHeight="1" x14ac:dyDescent="0.45">
      <c r="A17" s="39" t="s">
        <v>11</v>
      </c>
      <c r="B17" s="6">
        <f>'Data and Analysis'!B84</f>
        <v>9</v>
      </c>
      <c r="C17" s="6">
        <f>'Data and Analysis'!C84</f>
        <v>8</v>
      </c>
      <c r="D17" s="6">
        <f>'Data and Analysis'!D84</f>
        <v>3</v>
      </c>
    </row>
    <row r="19" spans="1:9" ht="17.25" customHeight="1" x14ac:dyDescent="0.45"/>
    <row r="20" spans="1:9" ht="21" customHeight="1" x14ac:dyDescent="0.45">
      <c r="A20" s="56" t="s">
        <v>142</v>
      </c>
      <c r="B20" s="56"/>
    </row>
    <row r="21" spans="1:9" ht="15" customHeight="1" x14ac:dyDescent="0.45">
      <c r="A21" s="37" t="s">
        <v>1</v>
      </c>
      <c r="B21" s="37" t="s">
        <v>13</v>
      </c>
    </row>
    <row r="22" spans="1:9" ht="15" customHeight="1" x14ac:dyDescent="0.45">
      <c r="A22" s="39" t="s">
        <v>73</v>
      </c>
      <c r="B22" s="55">
        <f>'Data and Analysis'!V90</f>
        <v>-9.9666666666666703</v>
      </c>
    </row>
    <row r="23" spans="1:9" x14ac:dyDescent="0.45">
      <c r="A23" s="49" t="s">
        <v>74</v>
      </c>
      <c r="B23" s="55">
        <f>'Data and Analysis'!V91</f>
        <v>-21.399999999999995</v>
      </c>
      <c r="I23" s="6"/>
    </row>
    <row r="24" spans="1:9" x14ac:dyDescent="0.45">
      <c r="A24" s="49" t="s">
        <v>75</v>
      </c>
      <c r="B24" s="55">
        <f>'Data and Analysis'!V92</f>
        <v>-27.18333333333333</v>
      </c>
    </row>
    <row r="25" spans="1:9" x14ac:dyDescent="0.45">
      <c r="A25" s="49" t="s">
        <v>76</v>
      </c>
      <c r="B25" s="55">
        <f>'Data and Analysis'!V93</f>
        <v>-27.133333333333336</v>
      </c>
    </row>
    <row r="26" spans="1:9" x14ac:dyDescent="0.45">
      <c r="A26" s="49" t="s">
        <v>77</v>
      </c>
      <c r="B26" s="55">
        <f>'Data and Analysis'!V94</f>
        <v>-28.516666666666673</v>
      </c>
    </row>
    <row r="27" spans="1:9" x14ac:dyDescent="0.45">
      <c r="A27" s="49" t="s">
        <v>78</v>
      </c>
      <c r="B27" s="55">
        <f>'Data and Analysis'!V95</f>
        <v>-47.500000000000007</v>
      </c>
    </row>
    <row r="28" spans="1:9" x14ac:dyDescent="0.45">
      <c r="A28" s="49" t="s">
        <v>79</v>
      </c>
      <c r="B28" s="55">
        <f>'Data and Analysis'!V96</f>
        <v>-21.900000000000002</v>
      </c>
    </row>
    <row r="29" spans="1:9" x14ac:dyDescent="0.45">
      <c r="A29" s="49" t="s">
        <v>80</v>
      </c>
      <c r="B29" s="55">
        <f>'Data and Analysis'!V97</f>
        <v>-50.033333333333339</v>
      </c>
    </row>
    <row r="30" spans="1:9" x14ac:dyDescent="0.45">
      <c r="A30" s="49" t="s">
        <v>81</v>
      </c>
      <c r="B30" s="55">
        <f>'Data and Analysis'!V98</f>
        <v>-52.316666666666663</v>
      </c>
    </row>
    <row r="33" spans="1:4" ht="31.9" customHeight="1" x14ac:dyDescent="0.5">
      <c r="A33" s="57" t="s">
        <v>143</v>
      </c>
      <c r="B33" s="57"/>
    </row>
    <row r="34" spans="1:4" x14ac:dyDescent="0.45">
      <c r="A34" s="37" t="s">
        <v>1</v>
      </c>
      <c r="B34" s="37" t="s">
        <v>13</v>
      </c>
    </row>
    <row r="35" spans="1:4" x14ac:dyDescent="0.45">
      <c r="A35" s="39" t="s">
        <v>73</v>
      </c>
      <c r="B35" s="54">
        <f>'Data and Analysis'!V122</f>
        <v>0.89130507012548588</v>
      </c>
    </row>
    <row r="36" spans="1:4" x14ac:dyDescent="0.45">
      <c r="A36" s="49" t="s">
        <v>74</v>
      </c>
      <c r="B36" s="54">
        <f>'Data and Analysis'!V123</f>
        <v>0.50414376496156388</v>
      </c>
    </row>
    <row r="37" spans="1:4" x14ac:dyDescent="0.45">
      <c r="A37" s="49" t="s">
        <v>75</v>
      </c>
      <c r="B37" s="54">
        <f>'Data and Analysis'!V124</f>
        <v>0.23766365708011214</v>
      </c>
    </row>
    <row r="38" spans="1:4" x14ac:dyDescent="0.45">
      <c r="A38" s="49" t="s">
        <v>76</v>
      </c>
      <c r="B38" s="54">
        <f>'Data and Analysis'!V125</f>
        <v>0.26092593103035</v>
      </c>
    </row>
    <row r="39" spans="1:4" x14ac:dyDescent="0.45">
      <c r="A39" s="49" t="s">
        <v>77</v>
      </c>
      <c r="B39" s="54">
        <f>'Data and Analysis'!V126</f>
        <v>0.27058201952829808</v>
      </c>
    </row>
    <row r="40" spans="1:4" x14ac:dyDescent="0.45">
      <c r="A40" s="49" t="s">
        <v>78</v>
      </c>
      <c r="B40" s="54">
        <f>'Data and Analysis'!V127</f>
        <v>1.4703324353503995E-6</v>
      </c>
    </row>
    <row r="41" spans="1:4" x14ac:dyDescent="0.45">
      <c r="A41" s="49" t="s">
        <v>79</v>
      </c>
      <c r="B41" s="54">
        <f>'Data and Analysis'!V128</f>
        <v>0.53001387274055423</v>
      </c>
    </row>
    <row r="42" spans="1:4" x14ac:dyDescent="0.45">
      <c r="A42" s="49" t="s">
        <v>80</v>
      </c>
      <c r="B42" s="54">
        <f>'Data and Analysis'!V129</f>
        <v>2.2522018715837564E-6</v>
      </c>
    </row>
    <row r="43" spans="1:4" x14ac:dyDescent="0.45">
      <c r="A43" s="49" t="s">
        <v>81</v>
      </c>
      <c r="B43" s="54">
        <f>'Data and Analysis'!V130</f>
        <v>7.3963900319130033E-8</v>
      </c>
    </row>
    <row r="46" spans="1:4" ht="16.899999999999999" x14ac:dyDescent="0.5">
      <c r="A46" s="38" t="s">
        <v>144</v>
      </c>
      <c r="B46" s="5"/>
      <c r="C46" s="5"/>
      <c r="D46" s="5"/>
    </row>
    <row r="47" spans="1:4" x14ac:dyDescent="0.45">
      <c r="A47" s="50" t="s">
        <v>1</v>
      </c>
      <c r="B47" s="50" t="s">
        <v>8</v>
      </c>
      <c r="C47" s="50" t="s">
        <v>9</v>
      </c>
      <c r="D47" s="50" t="s">
        <v>10</v>
      </c>
    </row>
    <row r="48" spans="1:4" x14ac:dyDescent="0.45">
      <c r="A48" s="51" t="s">
        <v>73</v>
      </c>
      <c r="B48" s="52">
        <f>AVERAGEIF('Data and Analysis'!$B$73:$U$73,1,'Data and Analysis'!B122:U122)</f>
        <v>0.99933646482830363</v>
      </c>
      <c r="C48" s="52">
        <f>AVERAGEIF('Data and Analysis'!$B$73:$U$73,2,'Data and Analysis'!B122:U122)</f>
        <v>0.85519169574518028</v>
      </c>
      <c r="D48" s="52">
        <f>AVERAGEIF('Data and Analysis'!$B$73:$U$73,3,'Data and Analysis'!B122:U122)</f>
        <v>0.66351321769784866</v>
      </c>
    </row>
    <row r="49" spans="1:4" x14ac:dyDescent="0.45">
      <c r="A49" s="53" t="s">
        <v>74</v>
      </c>
      <c r="B49" s="52">
        <f>AVERAGEIF('Data and Analysis'!$B$73:$U$73,1,'Data and Analysis'!B123:U123)</f>
        <v>0.44910020418875174</v>
      </c>
      <c r="C49" s="52">
        <f>AVERAGEIF('Data and Analysis'!$B$73:$U$73,2,'Data and Analysis'!B123:U123)</f>
        <v>0.65670028157725591</v>
      </c>
      <c r="D49" s="52">
        <f>AVERAGEIF('Data and Analysis'!$B$73:$U$73,3,'Data and Analysis'!B123:U123)</f>
        <v>0.26245706963815452</v>
      </c>
    </row>
    <row r="50" spans="1:4" x14ac:dyDescent="0.45">
      <c r="A50" s="53" t="s">
        <v>75</v>
      </c>
      <c r="B50" s="52">
        <f>AVERAGEIF('Data and Analysis'!$B$73:$U$73,1,'Data and Analysis'!B124:U124)</f>
        <v>5.961157499081246E-2</v>
      </c>
      <c r="C50" s="52">
        <f>AVERAGEIF('Data and Analysis'!$B$73:$U$73,2,'Data and Analysis'!B124:U124)</f>
        <v>0.40005519766895931</v>
      </c>
      <c r="D50" s="52">
        <f>AVERAGEIF('Data and Analysis'!$B$73:$U$73,3,'Data and Analysis'!B124:U124)</f>
        <v>0.33877579511108546</v>
      </c>
    </row>
    <row r="51" spans="1:4" x14ac:dyDescent="0.45">
      <c r="A51" s="53" t="s">
        <v>76</v>
      </c>
      <c r="B51" s="52">
        <f>AVERAGEIF('Data and Analysis'!$B$73:$U$73,1,'Data and Analysis'!B125:U125)</f>
        <v>0.44505367892187109</v>
      </c>
      <c r="C51" s="52">
        <f>AVERAGEIF('Data and Analysis'!$B$73:$U$73,2,'Data and Analysis'!B125:U125)</f>
        <v>0.1092737533822659</v>
      </c>
      <c r="D51" s="52">
        <f>AVERAGEIF('Data and Analysis'!$B$73:$U$73,3,'Data and Analysis'!B125:U125)</f>
        <v>0.11294849441734468</v>
      </c>
    </row>
    <row r="52" spans="1:4" x14ac:dyDescent="0.45">
      <c r="A52" s="53" t="s">
        <v>77</v>
      </c>
      <c r="B52" s="52">
        <f>AVERAGEIF('Data and Analysis'!$B$73:$U$73,1,'Data and Analysis'!B126:U126)</f>
        <v>0.3431892567077488</v>
      </c>
      <c r="C52" s="52">
        <f>AVERAGEIF('Data and Analysis'!$B$73:$U$73,2,'Data and Analysis'!B126:U126)</f>
        <v>0.11581241643389682</v>
      </c>
      <c r="D52" s="52">
        <f>AVERAGEIF('Data and Analysis'!$B$73:$U$73,3,'Data and Analysis'!B126:U126)</f>
        <v>0.46547924957501619</v>
      </c>
    </row>
    <row r="53" spans="1:4" x14ac:dyDescent="0.45">
      <c r="A53" s="53" t="s">
        <v>78</v>
      </c>
      <c r="B53" s="52">
        <f>AVERAGEIF('Data and Analysis'!$B$73:$U$73,1,'Data and Analysis'!B127:U127)</f>
        <v>3.2662704626926571E-6</v>
      </c>
      <c r="C53" s="52">
        <f>AVERAGEIF('Data and Analysis'!$B$73:$U$73,2,'Data and Analysis'!B127:U127)</f>
        <v>8.4741314007968055E-10</v>
      </c>
      <c r="D53" s="52">
        <f>AVERAGEIF('Data and Analysis'!$B$73:$U$73,3,'Data and Analysis'!B127:U127)</f>
        <v>1.14507921781241E-9</v>
      </c>
    </row>
    <row r="54" spans="1:4" x14ac:dyDescent="0.45">
      <c r="A54" s="53" t="s">
        <v>79</v>
      </c>
      <c r="B54" s="52">
        <f>AVERAGEIF('Data and Analysis'!$B$73:$U$73,1,'Data and Analysis'!B128:U128)</f>
        <v>0.97572458613032098</v>
      </c>
      <c r="C54" s="52">
        <f>AVERAGEIF('Data and Analysis'!$B$73:$U$73,2,'Data and Analysis'!B128:U128)</f>
        <v>5.7426632373513316E-3</v>
      </c>
      <c r="D54" s="52">
        <f>AVERAGEIF('Data and Analysis'!$B$73:$U$73,3,'Data and Analysis'!B128:U128)</f>
        <v>0.59093829124646169</v>
      </c>
    </row>
    <row r="55" spans="1:4" x14ac:dyDescent="0.45">
      <c r="A55" s="53" t="s">
        <v>80</v>
      </c>
      <c r="B55" s="52">
        <f>AVERAGEIF('Data and Analysis'!$B$73:$U$73,1,'Data and Analysis'!B129:U129)</f>
        <v>4.9806392291965727E-6</v>
      </c>
      <c r="C55" s="52">
        <f>AVERAGEIF('Data and Analysis'!$B$73:$U$73,2,'Data and Analysis'!B129:U129)</f>
        <v>1.318725385658285E-8</v>
      </c>
      <c r="D55" s="52">
        <f>AVERAGEIF('Data and Analysis'!$B$73:$U$73,3,'Data and Analysis'!B129:U129)</f>
        <v>3.7595446017768167E-8</v>
      </c>
    </row>
    <row r="56" spans="1:4" x14ac:dyDescent="0.45">
      <c r="A56" s="53" t="s">
        <v>81</v>
      </c>
      <c r="B56" s="52">
        <f>AVERAGEIF('Data and Analysis'!$B$73:$U$73,1,'Data and Analysis'!B130:U130)</f>
        <v>1.6410449179106914E-7</v>
      </c>
      <c r="C56" s="52">
        <f>AVERAGEIF('Data and Analysis'!$B$73:$U$73,2,'Data and Analysis'!B130:U130)</f>
        <v>1.4123541712875624E-12</v>
      </c>
      <c r="D56" s="52">
        <f>AVERAGEIF('Data and Analysis'!$B$73:$U$73,3,'Data and Analysis'!B130:U130)</f>
        <v>7.7542714320263391E-10</v>
      </c>
    </row>
    <row r="59" spans="1:4" ht="16.899999999999999" x14ac:dyDescent="0.5">
      <c r="A59" s="38" t="s">
        <v>140</v>
      </c>
      <c r="B59" s="5"/>
      <c r="C59" s="5"/>
    </row>
    <row r="60" spans="1:4" x14ac:dyDescent="0.45">
      <c r="A60" s="37" t="s">
        <v>12</v>
      </c>
      <c r="B60" s="37" t="s">
        <v>13</v>
      </c>
      <c r="C60" s="37" t="s">
        <v>3</v>
      </c>
    </row>
    <row r="61" spans="1:4" x14ac:dyDescent="0.45">
      <c r="A61" s="39" t="s">
        <v>14</v>
      </c>
      <c r="B61" s="6">
        <f>'Data and Analysis'!C155</f>
        <v>3</v>
      </c>
      <c r="C61" s="6" t="s">
        <v>15</v>
      </c>
    </row>
    <row r="62" spans="1:4" x14ac:dyDescent="0.45">
      <c r="A62" s="39" t="s">
        <v>16</v>
      </c>
      <c r="B62" s="8">
        <f>'Data and Analysis'!C156</f>
        <v>0.85</v>
      </c>
      <c r="C62" s="6" t="s">
        <v>17</v>
      </c>
    </row>
  </sheetData>
  <mergeCells count="5">
    <mergeCell ref="A20:B20"/>
    <mergeCell ref="A33:B33"/>
    <mergeCell ref="A11:D11"/>
    <mergeCell ref="A1:Y1"/>
    <mergeCell ref="A3:B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9"/>
  <sheetViews>
    <sheetView topLeftCell="A5" zoomScaleNormal="100" workbookViewId="0">
      <selection activeCell="A25" sqref="A25"/>
    </sheetView>
  </sheetViews>
  <sheetFormatPr defaultColWidth="8.6640625" defaultRowHeight="14.25" x14ac:dyDescent="0.45"/>
  <cols>
    <col min="1" max="7" width="15.59765625" customWidth="1"/>
  </cols>
  <sheetData>
    <row r="1" spans="1:6" ht="14.25" customHeight="1" x14ac:dyDescent="0.45">
      <c r="A1" s="9" t="s">
        <v>18</v>
      </c>
    </row>
    <row r="2" spans="1:6" ht="14.25" customHeight="1" x14ac:dyDescent="0.45">
      <c r="A2" t="s">
        <v>19</v>
      </c>
    </row>
    <row r="3" spans="1:6" ht="14.25" customHeight="1" x14ac:dyDescent="0.45"/>
    <row r="4" spans="1:6" ht="14.25" customHeight="1" x14ac:dyDescent="0.45">
      <c r="A4" s="68" t="s">
        <v>20</v>
      </c>
      <c r="B4" s="68"/>
    </row>
    <row r="5" spans="1:6" ht="14.25" customHeight="1" x14ac:dyDescent="0.45">
      <c r="A5" t="s">
        <v>21</v>
      </c>
      <c r="B5">
        <v>0.99374396179400604</v>
      </c>
    </row>
    <row r="6" spans="1:6" ht="14.25" customHeight="1" x14ac:dyDescent="0.45">
      <c r="A6" t="s">
        <v>22</v>
      </c>
      <c r="B6">
        <v>0.98752706160204695</v>
      </c>
    </row>
    <row r="7" spans="1:6" ht="14.25" customHeight="1" x14ac:dyDescent="0.45">
      <c r="A7" t="s">
        <v>23</v>
      </c>
      <c r="B7">
        <v>0.90021649281637595</v>
      </c>
    </row>
    <row r="8" spans="1:6" ht="14.25" customHeight="1" x14ac:dyDescent="0.45">
      <c r="A8" t="s">
        <v>24</v>
      </c>
      <c r="B8">
        <v>5.30722777603021</v>
      </c>
    </row>
    <row r="9" spans="1:6" ht="14.25" customHeight="1" x14ac:dyDescent="0.45">
      <c r="A9" s="10" t="s">
        <v>25</v>
      </c>
      <c r="B9" s="10">
        <v>9</v>
      </c>
    </row>
    <row r="11" spans="1:6" ht="14.25" customHeight="1" x14ac:dyDescent="0.45">
      <c r="A11" t="s">
        <v>26</v>
      </c>
    </row>
    <row r="12" spans="1:6" ht="14.25" customHeight="1" x14ac:dyDescent="0.45">
      <c r="A12" s="3"/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</row>
    <row r="13" spans="1:6" ht="14.25" customHeight="1" x14ac:dyDescent="0.45">
      <c r="A13" t="s">
        <v>32</v>
      </c>
      <c r="B13">
        <v>7</v>
      </c>
      <c r="C13">
        <v>2230.0555555555602</v>
      </c>
      <c r="D13">
        <v>318.579365079365</v>
      </c>
      <c r="E13">
        <v>11.310510002817701</v>
      </c>
      <c r="F13">
        <v>0.22516574623810501</v>
      </c>
    </row>
    <row r="14" spans="1:6" ht="14.25" customHeight="1" x14ac:dyDescent="0.45">
      <c r="A14" t="s">
        <v>33</v>
      </c>
      <c r="B14">
        <v>1</v>
      </c>
      <c r="C14">
        <v>28.1666666666666</v>
      </c>
      <c r="D14">
        <v>28.1666666666666</v>
      </c>
    </row>
    <row r="15" spans="1:6" ht="14.25" customHeight="1" x14ac:dyDescent="0.45">
      <c r="A15" s="10" t="s">
        <v>34</v>
      </c>
      <c r="B15" s="10">
        <v>8</v>
      </c>
      <c r="C15" s="10">
        <v>2258.2222222222199</v>
      </c>
      <c r="D15" s="10"/>
      <c r="E15" s="10"/>
      <c r="F15" s="10"/>
    </row>
    <row r="16" spans="1:6" ht="14.25" customHeight="1" x14ac:dyDescent="0.45"/>
    <row r="17" spans="1:7" ht="14.25" customHeight="1" x14ac:dyDescent="0.45">
      <c r="A17" s="3"/>
      <c r="B17" s="3" t="s">
        <v>35</v>
      </c>
      <c r="C17" s="3" t="s">
        <v>24</v>
      </c>
      <c r="D17" s="3" t="s">
        <v>36</v>
      </c>
      <c r="E17" s="3" t="s">
        <v>37</v>
      </c>
      <c r="F17" s="3" t="s">
        <v>38</v>
      </c>
      <c r="G17" s="3" t="s">
        <v>39</v>
      </c>
    </row>
    <row r="18" spans="1:7" ht="14.25" customHeight="1" x14ac:dyDescent="0.45">
      <c r="A18" t="s">
        <v>40</v>
      </c>
      <c r="B18" s="11">
        <v>84.5</v>
      </c>
      <c r="C18">
        <v>4.8448139512495398</v>
      </c>
      <c r="D18">
        <v>17.441330224498401</v>
      </c>
      <c r="E18">
        <v>3.6460725633832798E-2</v>
      </c>
      <c r="F18">
        <v>22.9408020267478</v>
      </c>
      <c r="G18">
        <v>146.059197973252</v>
      </c>
    </row>
    <row r="19" spans="1:7" ht="14.25" customHeight="1" x14ac:dyDescent="0.45">
      <c r="A19" t="s">
        <v>41</v>
      </c>
      <c r="B19" s="11">
        <v>-10.6666666666667</v>
      </c>
      <c r="C19">
        <v>4.3333333333333304</v>
      </c>
      <c r="D19">
        <v>-2.4615384615384701</v>
      </c>
      <c r="E19">
        <v>0.24566053715279601</v>
      </c>
      <c r="F19">
        <v>-65.726887190090395</v>
      </c>
      <c r="G19">
        <v>44.393553856757002</v>
      </c>
    </row>
    <row r="20" spans="1:7" ht="14.25" customHeight="1" x14ac:dyDescent="0.45">
      <c r="A20" t="s">
        <v>42</v>
      </c>
      <c r="B20" s="11">
        <v>-15.6666666666667</v>
      </c>
      <c r="C20">
        <v>4.3333333333333304</v>
      </c>
      <c r="D20">
        <v>-3.6153846153846199</v>
      </c>
      <c r="E20">
        <v>0.17179130822713201</v>
      </c>
      <c r="F20">
        <v>-70.726887190090295</v>
      </c>
      <c r="G20">
        <v>39.393553856757002</v>
      </c>
    </row>
    <row r="21" spans="1:7" ht="14.25" customHeight="1" x14ac:dyDescent="0.45">
      <c r="A21" t="s">
        <v>43</v>
      </c>
      <c r="B21" s="11">
        <v>-21.6666666666667</v>
      </c>
      <c r="C21">
        <v>4.3333333333333304</v>
      </c>
      <c r="D21">
        <v>-5.0000000000000098</v>
      </c>
      <c r="E21">
        <v>0.12566591637800201</v>
      </c>
      <c r="F21">
        <v>-76.726887190090295</v>
      </c>
      <c r="G21">
        <v>33.393553856757002</v>
      </c>
    </row>
    <row r="22" spans="1:7" ht="14.25" customHeight="1" x14ac:dyDescent="0.45">
      <c r="A22" t="s">
        <v>44</v>
      </c>
      <c r="B22" s="11">
        <v>-31.6666666666667</v>
      </c>
      <c r="C22">
        <v>4.3333333333333304</v>
      </c>
      <c r="D22">
        <v>-7.3076923076923199</v>
      </c>
      <c r="E22">
        <v>8.6578645313538094E-2</v>
      </c>
      <c r="F22">
        <v>-86.726887190090295</v>
      </c>
      <c r="G22">
        <v>23.393553856756998</v>
      </c>
    </row>
    <row r="23" spans="1:7" ht="14.25" customHeight="1" x14ac:dyDescent="0.45">
      <c r="A23" t="s">
        <v>45</v>
      </c>
      <c r="B23" s="11">
        <v>-10.8333333333333</v>
      </c>
      <c r="C23">
        <v>3.7527767497325599</v>
      </c>
      <c r="D23">
        <v>-2.88675134594813</v>
      </c>
      <c r="E23">
        <v>0.21229561500965699</v>
      </c>
      <c r="F23">
        <v>-58.516883044591502</v>
      </c>
      <c r="G23">
        <v>36.850216377924902</v>
      </c>
    </row>
    <row r="24" spans="1:7" ht="14.25" customHeight="1" x14ac:dyDescent="0.45">
      <c r="A24" t="s">
        <v>46</v>
      </c>
      <c r="B24" s="11">
        <v>-5</v>
      </c>
      <c r="C24">
        <v>4.3333333333333304</v>
      </c>
      <c r="D24">
        <v>-1.15384615384616</v>
      </c>
      <c r="E24">
        <v>0.45460425800027898</v>
      </c>
      <c r="F24">
        <v>-60.060220523423702</v>
      </c>
      <c r="G24">
        <v>50.060220523423702</v>
      </c>
    </row>
    <row r="25" spans="1:7" ht="14.25" customHeight="1" x14ac:dyDescent="0.45">
      <c r="A25" s="10" t="s">
        <v>47</v>
      </c>
      <c r="B25" s="12">
        <v>-3.3333333333333401</v>
      </c>
      <c r="C25" s="10">
        <v>4.3333333333333304</v>
      </c>
      <c r="D25" s="10">
        <v>-0.76923076923077105</v>
      </c>
      <c r="E25" s="10">
        <v>0.58257119967969395</v>
      </c>
      <c r="F25" s="10">
        <v>-58.393553856757002</v>
      </c>
      <c r="G25" s="10">
        <v>51.726887190090302</v>
      </c>
    </row>
    <row r="27" spans="1:7" ht="14.25" customHeight="1" x14ac:dyDescent="0.45">
      <c r="A27" s="9" t="s">
        <v>48</v>
      </c>
    </row>
    <row r="28" spans="1:7" ht="14.25" customHeight="1" x14ac:dyDescent="0.45">
      <c r="A28" t="s">
        <v>19</v>
      </c>
    </row>
    <row r="29" spans="1:7" ht="14.25" customHeight="1" x14ac:dyDescent="0.45"/>
    <row r="30" spans="1:7" ht="14.25" customHeight="1" x14ac:dyDescent="0.45">
      <c r="A30" s="68" t="s">
        <v>20</v>
      </c>
      <c r="B30" s="68"/>
    </row>
    <row r="31" spans="1:7" ht="14.25" customHeight="1" x14ac:dyDescent="0.45">
      <c r="A31" t="s">
        <v>21</v>
      </c>
      <c r="B31">
        <v>0.998512803928154</v>
      </c>
    </row>
    <row r="32" spans="1:7" ht="14.25" customHeight="1" x14ac:dyDescent="0.45">
      <c r="A32" t="s">
        <v>22</v>
      </c>
      <c r="B32">
        <v>0.99702781960846498</v>
      </c>
    </row>
    <row r="33" spans="1:9" ht="14.25" customHeight="1" x14ac:dyDescent="0.45">
      <c r="A33" t="s">
        <v>23</v>
      </c>
      <c r="B33">
        <v>0.97622255686771797</v>
      </c>
    </row>
    <row r="34" spans="1:9" ht="14.25" customHeight="1" x14ac:dyDescent="0.45">
      <c r="A34" t="s">
        <v>24</v>
      </c>
      <c r="B34">
        <v>4.0824829046386197</v>
      </c>
    </row>
    <row r="35" spans="1:9" ht="14.25" customHeight="1" x14ac:dyDescent="0.45">
      <c r="A35" s="10" t="s">
        <v>25</v>
      </c>
      <c r="B35" s="10">
        <v>9</v>
      </c>
    </row>
    <row r="37" spans="1:9" ht="14.25" customHeight="1" x14ac:dyDescent="0.45">
      <c r="A37" t="s">
        <v>26</v>
      </c>
    </row>
    <row r="38" spans="1:9" ht="14.25" customHeight="1" x14ac:dyDescent="0.45">
      <c r="A38" s="3"/>
      <c r="B38" s="3" t="s">
        <v>27</v>
      </c>
      <c r="C38" s="3" t="s">
        <v>28</v>
      </c>
      <c r="D38" s="3" t="s">
        <v>29</v>
      </c>
      <c r="E38" s="3" t="s">
        <v>30</v>
      </c>
      <c r="F38" s="3" t="s">
        <v>31</v>
      </c>
    </row>
    <row r="39" spans="1:9" ht="14.25" customHeight="1" x14ac:dyDescent="0.45">
      <c r="A39" t="s">
        <v>32</v>
      </c>
      <c r="B39">
        <v>7</v>
      </c>
      <c r="C39">
        <v>5590.8888888888896</v>
      </c>
      <c r="D39">
        <v>798.69841269841299</v>
      </c>
      <c r="E39">
        <v>47.921904761905097</v>
      </c>
      <c r="F39">
        <v>0.110787847133269</v>
      </c>
    </row>
    <row r="40" spans="1:9" ht="14.25" customHeight="1" x14ac:dyDescent="0.45">
      <c r="A40" t="s">
        <v>33</v>
      </c>
      <c r="B40">
        <v>1</v>
      </c>
      <c r="C40">
        <v>16.6666666666666</v>
      </c>
      <c r="D40">
        <v>16.6666666666666</v>
      </c>
    </row>
    <row r="41" spans="1:9" ht="14.25" customHeight="1" x14ac:dyDescent="0.45">
      <c r="A41" s="10" t="s">
        <v>34</v>
      </c>
      <c r="B41" s="10">
        <v>8</v>
      </c>
      <c r="C41" s="10">
        <v>5607.5555555555602</v>
      </c>
      <c r="D41" s="10"/>
      <c r="E41" s="10"/>
      <c r="F41" s="10"/>
    </row>
    <row r="42" spans="1:9" ht="14.25" customHeight="1" x14ac:dyDescent="0.45"/>
    <row r="43" spans="1:9" ht="14.25" customHeight="1" x14ac:dyDescent="0.45">
      <c r="A43" s="3"/>
      <c r="B43" s="3" t="s">
        <v>35</v>
      </c>
      <c r="C43" s="3" t="s">
        <v>24</v>
      </c>
      <c r="D43" s="3" t="s">
        <v>36</v>
      </c>
      <c r="E43" s="3" t="s">
        <v>37</v>
      </c>
      <c r="F43" s="3" t="s">
        <v>38</v>
      </c>
      <c r="G43" s="3" t="s">
        <v>39</v>
      </c>
      <c r="H43" s="3" t="s">
        <v>49</v>
      </c>
      <c r="I43" s="3" t="s">
        <v>50</v>
      </c>
    </row>
    <row r="44" spans="1:9" ht="14.25" customHeight="1" x14ac:dyDescent="0.45">
      <c r="A44" t="s">
        <v>40</v>
      </c>
      <c r="B44" s="11">
        <v>111</v>
      </c>
      <c r="C44">
        <v>3.7267799624996401</v>
      </c>
      <c r="D44">
        <v>29.7844254602973</v>
      </c>
      <c r="E44">
        <v>2.13662245820277E-2</v>
      </c>
      <c r="F44">
        <v>63.646770789806098</v>
      </c>
      <c r="G44">
        <v>158.353229210194</v>
      </c>
      <c r="H44">
        <v>63.646770789806098</v>
      </c>
      <c r="I44">
        <v>158.353229210194</v>
      </c>
    </row>
    <row r="45" spans="1:9" ht="14.25" customHeight="1" x14ac:dyDescent="0.45">
      <c r="A45" t="s">
        <v>41</v>
      </c>
      <c r="B45" s="11">
        <v>-40</v>
      </c>
      <c r="C45">
        <v>3.3333333333333202</v>
      </c>
      <c r="D45">
        <v>-12</v>
      </c>
      <c r="E45">
        <v>5.2929352119179603E-2</v>
      </c>
      <c r="F45">
        <v>-82.354015787248898</v>
      </c>
      <c r="G45">
        <v>2.3540157872488798</v>
      </c>
      <c r="H45">
        <v>-82.354015787248898</v>
      </c>
      <c r="I45">
        <v>2.3540157872488798</v>
      </c>
    </row>
    <row r="46" spans="1:9" ht="14.25" customHeight="1" x14ac:dyDescent="0.45">
      <c r="A46" t="s">
        <v>42</v>
      </c>
      <c r="B46" s="11">
        <v>-45.6666666666667</v>
      </c>
      <c r="C46">
        <v>3.3333333333333202</v>
      </c>
      <c r="D46">
        <v>-13.7</v>
      </c>
      <c r="E46">
        <v>4.6386332132360299E-2</v>
      </c>
      <c r="F46">
        <v>-88.020682453915597</v>
      </c>
      <c r="G46">
        <v>-3.31265087941778</v>
      </c>
      <c r="H46">
        <v>-88.020682453915597</v>
      </c>
      <c r="I46">
        <v>-3.31265087941778</v>
      </c>
    </row>
    <row r="47" spans="1:9" ht="14.25" customHeight="1" x14ac:dyDescent="0.45">
      <c r="A47" t="s">
        <v>43</v>
      </c>
      <c r="B47" s="11">
        <v>-18.3333333333333</v>
      </c>
      <c r="C47">
        <v>3.3333333333333202</v>
      </c>
      <c r="D47">
        <v>-5.5000000000000204</v>
      </c>
      <c r="E47">
        <v>0.11449829409740001</v>
      </c>
      <c r="F47">
        <v>-60.687349120582198</v>
      </c>
      <c r="G47">
        <v>24.020682453915601</v>
      </c>
      <c r="H47">
        <v>-60.687349120582198</v>
      </c>
      <c r="I47">
        <v>24.020682453915601</v>
      </c>
    </row>
    <row r="48" spans="1:9" ht="14.25" customHeight="1" x14ac:dyDescent="0.45">
      <c r="A48" t="s">
        <v>44</v>
      </c>
      <c r="B48" s="11">
        <v>-30.3333333333333</v>
      </c>
      <c r="C48">
        <v>3.3333333333333202</v>
      </c>
      <c r="D48">
        <v>-9.1000000000000298</v>
      </c>
      <c r="E48">
        <v>6.9678638327790296E-2</v>
      </c>
      <c r="F48">
        <v>-72.687349120582198</v>
      </c>
      <c r="G48">
        <v>12.020682453915599</v>
      </c>
      <c r="H48">
        <v>-72.687349120582198</v>
      </c>
      <c r="I48">
        <v>12.020682453915599</v>
      </c>
    </row>
    <row r="49" spans="1:9" ht="14.25" customHeight="1" x14ac:dyDescent="0.45">
      <c r="A49" t="s">
        <v>45</v>
      </c>
      <c r="B49" s="11">
        <v>-7.6666666666666599</v>
      </c>
      <c r="C49">
        <v>2.8867513459481202</v>
      </c>
      <c r="D49">
        <v>-2.6558112382722898</v>
      </c>
      <c r="E49">
        <v>0.22925556759247501</v>
      </c>
      <c r="F49">
        <v>-44.346320290711397</v>
      </c>
      <c r="G49">
        <v>29.012986957378001</v>
      </c>
      <c r="H49">
        <v>-44.346320290711397</v>
      </c>
      <c r="I49">
        <v>29.012986957378001</v>
      </c>
    </row>
    <row r="50" spans="1:9" ht="14.25" customHeight="1" x14ac:dyDescent="0.45">
      <c r="A50" t="s">
        <v>46</v>
      </c>
      <c r="B50" s="11">
        <v>-13.3333333333333</v>
      </c>
      <c r="C50">
        <v>3.3333333333333202</v>
      </c>
      <c r="D50">
        <v>-4.0000000000000098</v>
      </c>
      <c r="E50">
        <v>0.15595826075473801</v>
      </c>
      <c r="F50">
        <v>-55.687349120582198</v>
      </c>
      <c r="G50">
        <v>29.020682453915601</v>
      </c>
      <c r="H50">
        <v>-55.687349120582198</v>
      </c>
      <c r="I50">
        <v>29.020682453915601</v>
      </c>
    </row>
    <row r="51" spans="1:9" ht="14.25" customHeight="1" x14ac:dyDescent="0.45">
      <c r="A51" s="10" t="s">
        <v>47</v>
      </c>
      <c r="B51" s="12">
        <v>-13.3333333333333</v>
      </c>
      <c r="C51" s="10">
        <v>3.3333333333333202</v>
      </c>
      <c r="D51" s="10">
        <v>-4.0000000000000204</v>
      </c>
      <c r="E51" s="10">
        <v>0.15595826075473801</v>
      </c>
      <c r="F51" s="10">
        <v>-55.687349120582198</v>
      </c>
      <c r="G51" s="10">
        <v>29.020682453915501</v>
      </c>
      <c r="H51" s="10">
        <v>-55.687349120582198</v>
      </c>
      <c r="I51" s="10">
        <v>29.020682453915501</v>
      </c>
    </row>
    <row r="53" spans="1:9" ht="14.25" customHeight="1" x14ac:dyDescent="0.45">
      <c r="A53" s="9" t="s">
        <v>51</v>
      </c>
    </row>
    <row r="54" spans="1:9" ht="14.25" customHeight="1" x14ac:dyDescent="0.45">
      <c r="A54" t="s">
        <v>19</v>
      </c>
    </row>
    <row r="55" spans="1:9" ht="14.25" customHeight="1" x14ac:dyDescent="0.45"/>
    <row r="56" spans="1:9" ht="14.25" customHeight="1" x14ac:dyDescent="0.45">
      <c r="A56" s="68" t="s">
        <v>20</v>
      </c>
      <c r="B56" s="68"/>
    </row>
    <row r="57" spans="1:9" ht="14.25" customHeight="1" x14ac:dyDescent="0.45">
      <c r="A57" t="s">
        <v>21</v>
      </c>
      <c r="B57">
        <v>0.99785211159666698</v>
      </c>
    </row>
    <row r="58" spans="1:9" ht="14.25" customHeight="1" x14ac:dyDescent="0.45">
      <c r="A58" t="s">
        <v>22</v>
      </c>
      <c r="B58">
        <v>0.99570883661792797</v>
      </c>
    </row>
    <row r="59" spans="1:9" ht="14.25" customHeight="1" x14ac:dyDescent="0.45">
      <c r="A59" t="s">
        <v>23</v>
      </c>
      <c r="B59">
        <v>0.96567069294342001</v>
      </c>
    </row>
    <row r="60" spans="1:9" ht="14.25" customHeight="1" x14ac:dyDescent="0.45">
      <c r="A60" t="s">
        <v>24</v>
      </c>
      <c r="B60">
        <v>2.4494897427831801</v>
      </c>
    </row>
    <row r="61" spans="1:9" ht="14.25" customHeight="1" x14ac:dyDescent="0.45">
      <c r="A61" s="10" t="s">
        <v>25</v>
      </c>
      <c r="B61" s="10">
        <v>9</v>
      </c>
    </row>
    <row r="63" spans="1:9" ht="14.25" customHeight="1" x14ac:dyDescent="0.45">
      <c r="A63" t="s">
        <v>26</v>
      </c>
    </row>
    <row r="64" spans="1:9" ht="14.25" customHeight="1" x14ac:dyDescent="0.45">
      <c r="A64" s="3"/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</row>
    <row r="65" spans="1:9" ht="14.25" customHeight="1" x14ac:dyDescent="0.45">
      <c r="A65" t="s">
        <v>32</v>
      </c>
      <c r="B65">
        <v>7</v>
      </c>
      <c r="C65">
        <v>1392.2222222222199</v>
      </c>
      <c r="D65">
        <v>198.888888888889</v>
      </c>
      <c r="E65">
        <v>33.148148148148202</v>
      </c>
      <c r="F65">
        <v>0.13297341650757899</v>
      </c>
    </row>
    <row r="66" spans="1:9" ht="14.25" customHeight="1" x14ac:dyDescent="0.45">
      <c r="A66" t="s">
        <v>33</v>
      </c>
      <c r="B66">
        <v>1</v>
      </c>
      <c r="C66">
        <v>5.9999999999999902</v>
      </c>
      <c r="D66">
        <v>5.9999999999999902</v>
      </c>
    </row>
    <row r="67" spans="1:9" ht="14.25" customHeight="1" x14ac:dyDescent="0.45">
      <c r="A67" s="10" t="s">
        <v>34</v>
      </c>
      <c r="B67" s="10">
        <v>8</v>
      </c>
      <c r="C67" s="10">
        <v>1398.2222222222199</v>
      </c>
      <c r="D67" s="10"/>
      <c r="E67" s="10"/>
      <c r="F67" s="10"/>
    </row>
    <row r="68" spans="1:9" ht="14.25" customHeight="1" x14ac:dyDescent="0.45"/>
    <row r="69" spans="1:9" ht="14.25" customHeight="1" x14ac:dyDescent="0.45">
      <c r="A69" s="3"/>
      <c r="B69" s="3" t="s">
        <v>35</v>
      </c>
      <c r="C69" s="3" t="s">
        <v>24</v>
      </c>
      <c r="D69" s="3" t="s">
        <v>36</v>
      </c>
      <c r="E69" s="3" t="s">
        <v>37</v>
      </c>
      <c r="F69" s="3" t="s">
        <v>38</v>
      </c>
      <c r="G69" s="3" t="s">
        <v>39</v>
      </c>
      <c r="H69" s="3" t="s">
        <v>49</v>
      </c>
      <c r="I69" s="3" t="s">
        <v>50</v>
      </c>
    </row>
    <row r="70" spans="1:9" ht="14.25" customHeight="1" x14ac:dyDescent="0.45">
      <c r="A70" t="s">
        <v>40</v>
      </c>
      <c r="B70" s="11">
        <v>60.3333333333333</v>
      </c>
      <c r="C70">
        <v>2.2360679774997898</v>
      </c>
      <c r="D70">
        <v>26.981886928497499</v>
      </c>
      <c r="E70">
        <v>2.35835444115776E-2</v>
      </c>
      <c r="F70">
        <v>31.921395807216999</v>
      </c>
      <c r="G70">
        <v>88.745270859449704</v>
      </c>
      <c r="H70">
        <v>31.921395807216999</v>
      </c>
      <c r="I70">
        <v>88.745270859449704</v>
      </c>
    </row>
    <row r="71" spans="1:9" ht="14.25" customHeight="1" x14ac:dyDescent="0.45">
      <c r="A71" t="s">
        <v>41</v>
      </c>
      <c r="B71" s="11">
        <v>-14.3333333333333</v>
      </c>
      <c r="C71">
        <v>2</v>
      </c>
      <c r="D71">
        <v>-7.1666666666666803</v>
      </c>
      <c r="E71">
        <v>8.8260797895448898E-2</v>
      </c>
      <c r="F71">
        <v>-39.745742805682703</v>
      </c>
      <c r="G71">
        <v>11.079076139016101</v>
      </c>
      <c r="H71">
        <v>-39.745742805682703</v>
      </c>
      <c r="I71">
        <v>11.079076139016101</v>
      </c>
    </row>
    <row r="72" spans="1:9" ht="14.25" customHeight="1" x14ac:dyDescent="0.45">
      <c r="A72" t="s">
        <v>42</v>
      </c>
      <c r="B72" s="11">
        <v>-23.3333333333333</v>
      </c>
      <c r="C72">
        <v>2</v>
      </c>
      <c r="D72">
        <v>-11.6666666666667</v>
      </c>
      <c r="E72">
        <v>5.4434360597641798E-2</v>
      </c>
      <c r="F72">
        <v>-48.745742805682703</v>
      </c>
      <c r="G72">
        <v>2.0790761390160499</v>
      </c>
      <c r="H72">
        <v>-48.745742805682703</v>
      </c>
      <c r="I72">
        <v>2.0790761390160499</v>
      </c>
    </row>
    <row r="73" spans="1:9" ht="14.25" customHeight="1" x14ac:dyDescent="0.45">
      <c r="A73" t="s">
        <v>43</v>
      </c>
      <c r="B73" s="11">
        <v>-7</v>
      </c>
      <c r="C73">
        <v>2</v>
      </c>
      <c r="D73">
        <v>-3.5000000000000102</v>
      </c>
      <c r="E73">
        <v>0.177171065565809</v>
      </c>
      <c r="F73">
        <v>-32.412409472349403</v>
      </c>
      <c r="G73">
        <v>18.412409472349399</v>
      </c>
      <c r="H73">
        <v>-32.412409472349403</v>
      </c>
      <c r="I73">
        <v>18.412409472349399</v>
      </c>
    </row>
    <row r="74" spans="1:9" ht="14.25" customHeight="1" x14ac:dyDescent="0.45">
      <c r="A74" t="s">
        <v>44</v>
      </c>
      <c r="B74" s="11">
        <v>-14.6666666666667</v>
      </c>
      <c r="C74">
        <v>2</v>
      </c>
      <c r="D74">
        <v>-7.3333333333333499</v>
      </c>
      <c r="E74">
        <v>8.6279622426948005E-2</v>
      </c>
      <c r="F74">
        <v>-40.079076139016102</v>
      </c>
      <c r="G74">
        <v>10.745742805682699</v>
      </c>
      <c r="H74">
        <v>-40.079076139016102</v>
      </c>
      <c r="I74">
        <v>10.745742805682699</v>
      </c>
    </row>
    <row r="75" spans="1:9" ht="14.25" customHeight="1" x14ac:dyDescent="0.45">
      <c r="A75" t="s">
        <v>45</v>
      </c>
      <c r="B75" s="11">
        <v>-4.6666666666666599</v>
      </c>
      <c r="C75">
        <v>1.7320508075688801</v>
      </c>
      <c r="D75">
        <v>-2.69430125621825</v>
      </c>
      <c r="E75">
        <v>0.22625107275798501</v>
      </c>
      <c r="F75">
        <v>-26.6744588410935</v>
      </c>
      <c r="G75">
        <v>17.3411255077602</v>
      </c>
      <c r="H75">
        <v>-26.6744588410935</v>
      </c>
      <c r="I75">
        <v>17.3411255077602</v>
      </c>
    </row>
    <row r="76" spans="1:9" ht="14.25" customHeight="1" x14ac:dyDescent="0.45">
      <c r="A76" t="s">
        <v>46</v>
      </c>
      <c r="B76" s="11">
        <v>-10.3333333333333</v>
      </c>
      <c r="C76">
        <v>2</v>
      </c>
      <c r="D76">
        <v>-5.1666666666666696</v>
      </c>
      <c r="E76">
        <v>0.12171180714887</v>
      </c>
      <c r="F76">
        <v>-35.745742805682703</v>
      </c>
      <c r="G76">
        <v>15.079076139016101</v>
      </c>
      <c r="H76">
        <v>-35.745742805682703</v>
      </c>
      <c r="I76">
        <v>15.079076139016101</v>
      </c>
    </row>
    <row r="77" spans="1:9" ht="14.25" customHeight="1" x14ac:dyDescent="0.45">
      <c r="A77" s="10" t="s">
        <v>47</v>
      </c>
      <c r="B77" s="12">
        <v>-9.3333333333333393</v>
      </c>
      <c r="C77" s="10">
        <v>2</v>
      </c>
      <c r="D77" s="10">
        <v>-4.6666666666666696</v>
      </c>
      <c r="E77" s="10">
        <v>0.134386189744579</v>
      </c>
      <c r="F77" s="10">
        <v>-34.745742805682703</v>
      </c>
      <c r="G77" s="10">
        <v>16.079076139015999</v>
      </c>
      <c r="H77" s="10">
        <v>-34.745742805682703</v>
      </c>
      <c r="I77" s="10">
        <v>16.079076139015999</v>
      </c>
    </row>
    <row r="79" spans="1:9" ht="14.25" customHeight="1" x14ac:dyDescent="0.45">
      <c r="A79" s="9" t="s">
        <v>52</v>
      </c>
    </row>
    <row r="80" spans="1:9" ht="14.25" customHeight="1" x14ac:dyDescent="0.45">
      <c r="A80" t="s">
        <v>19</v>
      </c>
    </row>
    <row r="81" spans="1:9" ht="14.25" customHeight="1" x14ac:dyDescent="0.45"/>
    <row r="82" spans="1:9" ht="14.25" customHeight="1" x14ac:dyDescent="0.45">
      <c r="A82" s="68" t="s">
        <v>20</v>
      </c>
      <c r="B82" s="68"/>
    </row>
    <row r="83" spans="1:9" ht="14.25" customHeight="1" x14ac:dyDescent="0.45">
      <c r="A83" t="s">
        <v>21</v>
      </c>
      <c r="B83">
        <v>0.99985581428805503</v>
      </c>
    </row>
    <row r="84" spans="1:9" ht="14.25" customHeight="1" x14ac:dyDescent="0.45">
      <c r="A84" t="s">
        <v>22</v>
      </c>
      <c r="B84">
        <v>0.99971164936562895</v>
      </c>
    </row>
    <row r="85" spans="1:9" ht="14.25" customHeight="1" x14ac:dyDescent="0.45">
      <c r="A85" t="s">
        <v>23</v>
      </c>
      <c r="B85">
        <v>0.99769319492502895</v>
      </c>
    </row>
    <row r="86" spans="1:9" ht="14.25" customHeight="1" x14ac:dyDescent="0.45">
      <c r="A86" t="s">
        <v>24</v>
      </c>
      <c r="B86">
        <v>0.40824829046386302</v>
      </c>
    </row>
    <row r="87" spans="1:9" ht="14.25" customHeight="1" x14ac:dyDescent="0.45">
      <c r="A87" s="10" t="s">
        <v>25</v>
      </c>
      <c r="B87" s="10">
        <v>9</v>
      </c>
    </row>
    <row r="89" spans="1:9" ht="14.25" customHeight="1" x14ac:dyDescent="0.45">
      <c r="A89" t="s">
        <v>26</v>
      </c>
    </row>
    <row r="90" spans="1:9" ht="14.25" customHeight="1" x14ac:dyDescent="0.45">
      <c r="A90" s="3"/>
      <c r="B90" s="3" t="s">
        <v>27</v>
      </c>
      <c r="C90" s="3" t="s">
        <v>28</v>
      </c>
      <c r="D90" s="3" t="s">
        <v>29</v>
      </c>
      <c r="E90" s="3" t="s">
        <v>30</v>
      </c>
      <c r="F90" s="3" t="s">
        <v>31</v>
      </c>
    </row>
    <row r="91" spans="1:9" ht="14.25" customHeight="1" x14ac:dyDescent="0.45">
      <c r="A91" t="s">
        <v>32</v>
      </c>
      <c r="B91">
        <v>7</v>
      </c>
      <c r="C91">
        <v>577.83333333333303</v>
      </c>
      <c r="D91">
        <v>82.547619047619094</v>
      </c>
      <c r="E91">
        <v>495.28571428571399</v>
      </c>
      <c r="F91">
        <v>3.45848742011544E-2</v>
      </c>
    </row>
    <row r="92" spans="1:9" ht="14.25" customHeight="1" x14ac:dyDescent="0.45">
      <c r="A92" t="s">
        <v>33</v>
      </c>
      <c r="B92">
        <v>1</v>
      </c>
      <c r="C92">
        <v>0.16666666666666699</v>
      </c>
      <c r="D92">
        <v>0.16666666666666699</v>
      </c>
    </row>
    <row r="93" spans="1:9" ht="14.25" customHeight="1" x14ac:dyDescent="0.45">
      <c r="A93" s="10" t="s">
        <v>34</v>
      </c>
      <c r="B93" s="10">
        <v>8</v>
      </c>
      <c r="C93" s="10">
        <v>578</v>
      </c>
      <c r="D93" s="10"/>
      <c r="E93" s="10"/>
      <c r="F93" s="10"/>
    </row>
    <row r="94" spans="1:9" ht="14.25" customHeight="1" x14ac:dyDescent="0.45"/>
    <row r="95" spans="1:9" ht="14.25" customHeight="1" x14ac:dyDescent="0.45">
      <c r="A95" s="3"/>
      <c r="B95" s="3" t="s">
        <v>35</v>
      </c>
      <c r="C95" s="3" t="s">
        <v>24</v>
      </c>
      <c r="D95" s="3" t="s">
        <v>36</v>
      </c>
      <c r="E95" s="3" t="s">
        <v>37</v>
      </c>
      <c r="F95" s="3" t="s">
        <v>38</v>
      </c>
      <c r="G95" s="3" t="s">
        <v>39</v>
      </c>
      <c r="H95" s="3" t="s">
        <v>49</v>
      </c>
      <c r="I95" s="3" t="s">
        <v>50</v>
      </c>
    </row>
    <row r="96" spans="1:9" ht="14.25" customHeight="1" x14ac:dyDescent="0.45">
      <c r="A96" t="s">
        <v>40</v>
      </c>
      <c r="B96" s="11">
        <v>55.8333333333333</v>
      </c>
      <c r="C96">
        <v>0.372677996249965</v>
      </c>
      <c r="D96">
        <v>149.81655449248601</v>
      </c>
      <c r="E96">
        <v>4.2492655118241199E-3</v>
      </c>
      <c r="F96">
        <v>51.098010412313897</v>
      </c>
      <c r="G96">
        <v>60.568656254352703</v>
      </c>
      <c r="H96">
        <v>51.098010412313897</v>
      </c>
      <c r="I96">
        <v>60.568656254352703</v>
      </c>
    </row>
    <row r="97" spans="1:9" ht="14.25" customHeight="1" x14ac:dyDescent="0.45">
      <c r="A97" t="s">
        <v>41</v>
      </c>
      <c r="B97" s="11">
        <v>-3</v>
      </c>
      <c r="C97">
        <v>0.33333333333333398</v>
      </c>
      <c r="D97">
        <v>-9</v>
      </c>
      <c r="E97">
        <v>7.0446574954554503E-2</v>
      </c>
      <c r="F97">
        <v>-7.2354015787249102</v>
      </c>
      <c r="G97">
        <v>1.2354015787249</v>
      </c>
      <c r="H97">
        <v>-7.2354015787249102</v>
      </c>
      <c r="I97">
        <v>1.2354015787249</v>
      </c>
    </row>
    <row r="98" spans="1:9" ht="14.25" customHeight="1" x14ac:dyDescent="0.45">
      <c r="A98" t="s">
        <v>42</v>
      </c>
      <c r="B98" s="11">
        <v>-6</v>
      </c>
      <c r="C98">
        <v>0.33333333333333298</v>
      </c>
      <c r="D98">
        <v>-18</v>
      </c>
      <c r="E98">
        <v>3.5331445776269302E-2</v>
      </c>
      <c r="F98">
        <v>-10.2354015787249</v>
      </c>
      <c r="G98">
        <v>-1.7645984212751</v>
      </c>
      <c r="H98">
        <v>-10.2354015787249</v>
      </c>
      <c r="I98">
        <v>-1.7645984212751</v>
      </c>
    </row>
    <row r="99" spans="1:9" ht="14.25" customHeight="1" x14ac:dyDescent="0.45">
      <c r="A99" t="s">
        <v>43</v>
      </c>
      <c r="B99" s="11">
        <v>-8.6666666666666696</v>
      </c>
      <c r="C99">
        <v>0.33333333333333298</v>
      </c>
      <c r="D99">
        <v>-26</v>
      </c>
      <c r="E99">
        <v>2.4473312908509001E-2</v>
      </c>
      <c r="F99">
        <v>-12.9020682453916</v>
      </c>
      <c r="G99">
        <v>-4.4312650879417701</v>
      </c>
      <c r="H99">
        <v>-12.9020682453916</v>
      </c>
      <c r="I99">
        <v>-4.4312650879417701</v>
      </c>
    </row>
    <row r="100" spans="1:9" ht="14.25" customHeight="1" x14ac:dyDescent="0.45">
      <c r="A100" t="s">
        <v>44</v>
      </c>
      <c r="B100" s="11">
        <v>-17.3333333333333</v>
      </c>
      <c r="C100">
        <v>0.33333333333333298</v>
      </c>
      <c r="D100">
        <v>-52</v>
      </c>
      <c r="E100">
        <v>1.2241179057848601E-2</v>
      </c>
      <c r="F100">
        <v>-21.568734912058201</v>
      </c>
      <c r="G100">
        <v>-13.0979317546084</v>
      </c>
      <c r="H100">
        <v>-21.568734912058201</v>
      </c>
      <c r="I100">
        <v>-13.0979317546084</v>
      </c>
    </row>
    <row r="101" spans="1:9" ht="14.25" customHeight="1" x14ac:dyDescent="0.45">
      <c r="A101" t="s">
        <v>45</v>
      </c>
      <c r="B101" s="11">
        <v>-1.5</v>
      </c>
      <c r="C101">
        <v>0.28867513459481298</v>
      </c>
      <c r="D101">
        <v>-5.1961524227066196</v>
      </c>
      <c r="E101">
        <v>0.121037718323677</v>
      </c>
      <c r="F101">
        <v>-5.1679653624044803</v>
      </c>
      <c r="G101">
        <v>2.1679653624044901</v>
      </c>
      <c r="H101">
        <v>-5.1679653624044803</v>
      </c>
      <c r="I101">
        <v>2.1679653624044901</v>
      </c>
    </row>
    <row r="102" spans="1:9" ht="14.25" customHeight="1" x14ac:dyDescent="0.45">
      <c r="A102" t="s">
        <v>46</v>
      </c>
      <c r="B102" s="11">
        <v>-2.3333333333333299</v>
      </c>
      <c r="C102">
        <v>0.33333333333333298</v>
      </c>
      <c r="D102">
        <v>-7</v>
      </c>
      <c r="E102">
        <v>9.0334470601733205E-2</v>
      </c>
      <c r="F102">
        <v>-6.5687349120582397</v>
      </c>
      <c r="G102">
        <v>1.90206824539157</v>
      </c>
      <c r="H102">
        <v>-6.5687349120582397</v>
      </c>
      <c r="I102">
        <v>1.90206824539157</v>
      </c>
    </row>
    <row r="103" spans="1:9" ht="14.25" customHeight="1" x14ac:dyDescent="0.45">
      <c r="A103" s="10" t="s">
        <v>47</v>
      </c>
      <c r="B103" s="12">
        <v>-6.6666666666666696</v>
      </c>
      <c r="C103" s="10">
        <v>0.33333333333333298</v>
      </c>
      <c r="D103" s="10">
        <v>-20</v>
      </c>
      <c r="E103" s="10">
        <v>3.1804502512352797E-2</v>
      </c>
      <c r="F103" s="10">
        <v>-10.9020682453916</v>
      </c>
      <c r="G103" s="10">
        <v>-2.4312650879417599</v>
      </c>
      <c r="H103" s="10">
        <v>-10.9020682453916</v>
      </c>
      <c r="I103" s="10">
        <v>-2.4312650879417599</v>
      </c>
    </row>
    <row r="105" spans="1:9" ht="14.25" customHeight="1" x14ac:dyDescent="0.45">
      <c r="A105" s="9" t="s">
        <v>53</v>
      </c>
    </row>
    <row r="106" spans="1:9" ht="14.25" customHeight="1" x14ac:dyDescent="0.45">
      <c r="A106" t="s">
        <v>19</v>
      </c>
    </row>
    <row r="107" spans="1:9" ht="14.25" customHeight="1" x14ac:dyDescent="0.45"/>
    <row r="108" spans="1:9" ht="14.25" customHeight="1" x14ac:dyDescent="0.45">
      <c r="A108" s="68" t="s">
        <v>20</v>
      </c>
      <c r="B108" s="68"/>
    </row>
    <row r="109" spans="1:9" ht="14.25" customHeight="1" x14ac:dyDescent="0.45">
      <c r="A109" t="s">
        <v>21</v>
      </c>
      <c r="B109">
        <v>0.99982027856676803</v>
      </c>
    </row>
    <row r="110" spans="1:9" ht="14.25" customHeight="1" x14ac:dyDescent="0.45">
      <c r="A110" t="s">
        <v>22</v>
      </c>
      <c r="B110">
        <v>0.99964058943332901</v>
      </c>
    </row>
    <row r="111" spans="1:9" ht="14.25" customHeight="1" x14ac:dyDescent="0.45">
      <c r="A111" t="s">
        <v>23</v>
      </c>
      <c r="B111">
        <v>0.99712471546663495</v>
      </c>
    </row>
    <row r="112" spans="1:9" ht="14.25" customHeight="1" x14ac:dyDescent="0.45">
      <c r="A112" t="s">
        <v>24</v>
      </c>
      <c r="B112">
        <v>0.81649658092772304</v>
      </c>
    </row>
    <row r="113" spans="1:9" ht="14.25" customHeight="1" x14ac:dyDescent="0.45">
      <c r="A113" s="10" t="s">
        <v>25</v>
      </c>
      <c r="B113" s="10">
        <v>9</v>
      </c>
    </row>
    <row r="115" spans="1:9" ht="14.25" customHeight="1" x14ac:dyDescent="0.45">
      <c r="A115" t="s">
        <v>26</v>
      </c>
    </row>
    <row r="116" spans="1:9" ht="14.25" customHeight="1" x14ac:dyDescent="0.45">
      <c r="A116" s="3"/>
      <c r="B116" s="3" t="s">
        <v>27</v>
      </c>
      <c r="C116" s="3" t="s">
        <v>28</v>
      </c>
      <c r="D116" s="3" t="s">
        <v>29</v>
      </c>
      <c r="E116" s="3" t="s">
        <v>30</v>
      </c>
      <c r="F116" s="3" t="s">
        <v>31</v>
      </c>
    </row>
    <row r="117" spans="1:9" ht="14.25" customHeight="1" x14ac:dyDescent="0.45">
      <c r="A117" t="s">
        <v>32</v>
      </c>
      <c r="B117">
        <v>7</v>
      </c>
      <c r="C117">
        <v>1854.2222222222199</v>
      </c>
      <c r="D117">
        <v>264.88888888888903</v>
      </c>
      <c r="E117">
        <v>397.33333333333701</v>
      </c>
      <c r="F117">
        <v>3.8609612991401601E-2</v>
      </c>
    </row>
    <row r="118" spans="1:9" ht="14.25" customHeight="1" x14ac:dyDescent="0.45">
      <c r="A118" t="s">
        <v>33</v>
      </c>
      <c r="B118">
        <v>1</v>
      </c>
      <c r="C118">
        <v>0.66666666666666097</v>
      </c>
      <c r="D118">
        <v>0.66666666666666097</v>
      </c>
    </row>
    <row r="119" spans="1:9" ht="14.25" customHeight="1" x14ac:dyDescent="0.45">
      <c r="A119" s="10" t="s">
        <v>34</v>
      </c>
      <c r="B119" s="10">
        <v>8</v>
      </c>
      <c r="C119" s="10">
        <v>1854.8888888888901</v>
      </c>
      <c r="D119" s="10"/>
      <c r="E119" s="10"/>
      <c r="F119" s="10"/>
    </row>
    <row r="120" spans="1:9" ht="14.25" customHeight="1" x14ac:dyDescent="0.45"/>
    <row r="121" spans="1:9" ht="14.25" customHeight="1" x14ac:dyDescent="0.45">
      <c r="A121" s="3"/>
      <c r="B121" s="3" t="s">
        <v>35</v>
      </c>
      <c r="C121" s="3" t="s">
        <v>24</v>
      </c>
      <c r="D121" s="3" t="s">
        <v>36</v>
      </c>
      <c r="E121" s="3" t="s">
        <v>37</v>
      </c>
      <c r="F121" s="3" t="s">
        <v>38</v>
      </c>
      <c r="G121" s="3" t="s">
        <v>39</v>
      </c>
      <c r="H121" s="3" t="s">
        <v>49</v>
      </c>
      <c r="I121" s="3" t="s">
        <v>50</v>
      </c>
    </row>
    <row r="122" spans="1:9" ht="14.25" customHeight="1" x14ac:dyDescent="0.45">
      <c r="A122" t="s">
        <v>40</v>
      </c>
      <c r="B122" s="11">
        <v>76.6666666666667</v>
      </c>
      <c r="C122">
        <v>0.74535599249992701</v>
      </c>
      <c r="D122">
        <v>102.85912696499101</v>
      </c>
      <c r="E122">
        <v>6.1890445209390396E-3</v>
      </c>
      <c r="F122">
        <v>67.196020824627894</v>
      </c>
      <c r="G122">
        <v>86.137312508705406</v>
      </c>
      <c r="H122">
        <v>67.196020824627894</v>
      </c>
      <c r="I122">
        <v>86.137312508705406</v>
      </c>
    </row>
    <row r="123" spans="1:9" ht="14.25" customHeight="1" x14ac:dyDescent="0.45">
      <c r="A123" t="s">
        <v>41</v>
      </c>
      <c r="B123" s="11">
        <v>-14.3333333333333</v>
      </c>
      <c r="C123">
        <v>0.66666666666666397</v>
      </c>
      <c r="D123">
        <v>-21.500000000000099</v>
      </c>
      <c r="E123">
        <v>2.9588897400745901E-2</v>
      </c>
      <c r="F123">
        <v>-22.804136490783101</v>
      </c>
      <c r="G123">
        <v>-5.8625301758835704</v>
      </c>
      <c r="H123">
        <v>-22.804136490783101</v>
      </c>
      <c r="I123">
        <v>-5.8625301758835704</v>
      </c>
    </row>
    <row r="124" spans="1:9" ht="14.25" customHeight="1" x14ac:dyDescent="0.45">
      <c r="A124" t="s">
        <v>42</v>
      </c>
      <c r="B124" s="11">
        <v>-30</v>
      </c>
      <c r="C124">
        <v>0.66666666666666397</v>
      </c>
      <c r="D124">
        <v>-45.000000000000199</v>
      </c>
      <c r="E124">
        <v>1.41447780006301E-2</v>
      </c>
      <c r="F124">
        <v>-38.470803157449801</v>
      </c>
      <c r="G124">
        <v>-21.529196842550199</v>
      </c>
      <c r="H124">
        <v>-38.470803157449801</v>
      </c>
      <c r="I124">
        <v>-21.529196842550199</v>
      </c>
    </row>
    <row r="125" spans="1:9" ht="14.25" customHeight="1" x14ac:dyDescent="0.45">
      <c r="A125" t="s">
        <v>43</v>
      </c>
      <c r="B125" s="11">
        <v>-12</v>
      </c>
      <c r="C125">
        <v>0.66666666666666397</v>
      </c>
      <c r="D125">
        <v>-18.000000000000099</v>
      </c>
      <c r="E125">
        <v>3.5331445776269101E-2</v>
      </c>
      <c r="F125">
        <v>-20.470803157449801</v>
      </c>
      <c r="G125">
        <v>-3.52919684255024</v>
      </c>
      <c r="H125">
        <v>-20.470803157449801</v>
      </c>
      <c r="I125">
        <v>-3.52919684255024</v>
      </c>
    </row>
    <row r="126" spans="1:9" ht="14.25" customHeight="1" x14ac:dyDescent="0.45">
      <c r="A126" t="s">
        <v>44</v>
      </c>
      <c r="B126" s="11">
        <v>-12.3333333333333</v>
      </c>
      <c r="C126">
        <v>0.66666666666666397</v>
      </c>
      <c r="D126">
        <v>-18.500000000000099</v>
      </c>
      <c r="E126">
        <v>3.43784228768566E-2</v>
      </c>
      <c r="F126">
        <v>-20.804136490783101</v>
      </c>
      <c r="G126">
        <v>-3.8625301758835699</v>
      </c>
      <c r="H126">
        <v>-20.804136490783101</v>
      </c>
      <c r="I126">
        <v>-3.8625301758835699</v>
      </c>
    </row>
    <row r="127" spans="1:9" ht="14.25" customHeight="1" x14ac:dyDescent="0.45">
      <c r="A127" t="s">
        <v>45</v>
      </c>
      <c r="B127" s="11">
        <v>-1.3333333333333299</v>
      </c>
      <c r="C127">
        <v>0.57735026918962296</v>
      </c>
      <c r="D127">
        <v>-2.30940107675851</v>
      </c>
      <c r="E127">
        <v>0.260146938293005</v>
      </c>
      <c r="F127">
        <v>-8.6692640581422609</v>
      </c>
      <c r="G127">
        <v>6.0025973914756001</v>
      </c>
      <c r="H127">
        <v>-8.6692640581422609</v>
      </c>
      <c r="I127">
        <v>6.0025973914756001</v>
      </c>
    </row>
    <row r="128" spans="1:9" ht="14.25" customHeight="1" x14ac:dyDescent="0.45">
      <c r="A128" t="s">
        <v>46</v>
      </c>
      <c r="B128" s="11">
        <v>-8</v>
      </c>
      <c r="C128">
        <v>0.66666666666666397</v>
      </c>
      <c r="D128">
        <v>-12.000000000000099</v>
      </c>
      <c r="E128">
        <v>5.2929352119179603E-2</v>
      </c>
      <c r="F128">
        <v>-16.470803157449801</v>
      </c>
      <c r="G128">
        <v>0.47080315744977203</v>
      </c>
      <c r="H128">
        <v>-16.470803157449801</v>
      </c>
      <c r="I128">
        <v>0.47080315744977203</v>
      </c>
    </row>
    <row r="129" spans="1:9" ht="14.25" customHeight="1" x14ac:dyDescent="0.45">
      <c r="A129" s="10" t="s">
        <v>47</v>
      </c>
      <c r="B129" s="12">
        <v>-11.3333333333333</v>
      </c>
      <c r="C129" s="10">
        <v>0.66666666666666397</v>
      </c>
      <c r="D129" s="10">
        <v>-17.000000000000099</v>
      </c>
      <c r="E129" s="10">
        <v>3.74051184825532E-2</v>
      </c>
      <c r="F129" s="10">
        <v>-19.804136490783101</v>
      </c>
      <c r="G129" s="10">
        <v>-2.8625301758835602</v>
      </c>
      <c r="H129" s="10">
        <v>-19.804136490783101</v>
      </c>
      <c r="I129" s="10">
        <v>-2.8625301758835602</v>
      </c>
    </row>
  </sheetData>
  <mergeCells count="5">
    <mergeCell ref="A4:B4"/>
    <mergeCell ref="A30:B30"/>
    <mergeCell ref="A56:B56"/>
    <mergeCell ref="A82:B82"/>
    <mergeCell ref="A108:B10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9"/>
  <sheetViews>
    <sheetView topLeftCell="A95" zoomScaleNormal="100" workbookViewId="0">
      <selection activeCell="M110" sqref="M110"/>
    </sheetView>
  </sheetViews>
  <sheetFormatPr defaultColWidth="8.6640625" defaultRowHeight="14.25" x14ac:dyDescent="0.45"/>
  <cols>
    <col min="1" max="1" width="19.86328125" customWidth="1"/>
    <col min="2" max="2" width="11.86328125" customWidth="1"/>
  </cols>
  <sheetData>
    <row r="1" spans="1:6" ht="14.25" customHeight="1" x14ac:dyDescent="0.45">
      <c r="A1" s="9" t="s">
        <v>54</v>
      </c>
    </row>
    <row r="2" spans="1:6" ht="14.25" customHeight="1" x14ac:dyDescent="0.45">
      <c r="A2" t="s">
        <v>19</v>
      </c>
    </row>
    <row r="3" spans="1:6" ht="14.25" customHeight="1" x14ac:dyDescent="0.45"/>
    <row r="4" spans="1:6" ht="14.25" customHeight="1" x14ac:dyDescent="0.45">
      <c r="A4" s="68" t="s">
        <v>20</v>
      </c>
      <c r="B4" s="68"/>
    </row>
    <row r="5" spans="1:6" ht="14.25" customHeight="1" x14ac:dyDescent="0.45">
      <c r="A5" t="s">
        <v>21</v>
      </c>
      <c r="B5">
        <v>0.99893417516344696</v>
      </c>
    </row>
    <row r="6" spans="1:6" ht="14.25" customHeight="1" x14ac:dyDescent="0.45">
      <c r="A6" t="s">
        <v>22</v>
      </c>
      <c r="B6">
        <v>0.99786948630947703</v>
      </c>
    </row>
    <row r="7" spans="1:6" ht="14.25" customHeight="1" x14ac:dyDescent="0.45">
      <c r="A7" t="s">
        <v>23</v>
      </c>
      <c r="B7">
        <v>0.982955890475814</v>
      </c>
    </row>
    <row r="8" spans="1:6" ht="14.25" customHeight="1" x14ac:dyDescent="0.45">
      <c r="A8" t="s">
        <v>24</v>
      </c>
      <c r="B8">
        <v>2.4494897427831801</v>
      </c>
    </row>
    <row r="9" spans="1:6" ht="14.25" customHeight="1" x14ac:dyDescent="0.45">
      <c r="A9" s="10" t="s">
        <v>25</v>
      </c>
      <c r="B9" s="10">
        <v>9</v>
      </c>
    </row>
    <row r="11" spans="1:6" ht="14.25" customHeight="1" x14ac:dyDescent="0.45">
      <c r="A11" t="s">
        <v>26</v>
      </c>
    </row>
    <row r="12" spans="1:6" ht="14.25" customHeight="1" x14ac:dyDescent="0.45">
      <c r="A12" s="3"/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</row>
    <row r="13" spans="1:6" ht="14.25" customHeight="1" x14ac:dyDescent="0.45">
      <c r="A13" t="s">
        <v>32</v>
      </c>
      <c r="B13">
        <v>7</v>
      </c>
      <c r="C13">
        <v>2810.2222222222199</v>
      </c>
      <c r="D13">
        <v>401.46031746031798</v>
      </c>
      <c r="E13">
        <v>66.910052910052897</v>
      </c>
      <c r="F13">
        <v>9.3864476508749198E-2</v>
      </c>
    </row>
    <row r="14" spans="1:6" ht="14.25" customHeight="1" x14ac:dyDescent="0.45">
      <c r="A14" t="s">
        <v>33</v>
      </c>
      <c r="B14">
        <v>1</v>
      </c>
      <c r="C14">
        <v>6</v>
      </c>
      <c r="D14">
        <v>6</v>
      </c>
    </row>
    <row r="15" spans="1:6" ht="14.25" customHeight="1" x14ac:dyDescent="0.45">
      <c r="A15" s="10" t="s">
        <v>34</v>
      </c>
      <c r="B15" s="10">
        <v>8</v>
      </c>
      <c r="C15" s="10">
        <v>2816.2222222222199</v>
      </c>
      <c r="D15" s="10"/>
      <c r="E15" s="10"/>
      <c r="F15" s="10"/>
    </row>
    <row r="16" spans="1:6" ht="14.25" customHeight="1" x14ac:dyDescent="0.45"/>
    <row r="17" spans="1:9" ht="14.25" customHeight="1" x14ac:dyDescent="0.45">
      <c r="A17" s="3"/>
      <c r="B17" s="3" t="s">
        <v>35</v>
      </c>
      <c r="C17" s="3" t="s">
        <v>24</v>
      </c>
      <c r="D17" s="3" t="s">
        <v>36</v>
      </c>
      <c r="E17" s="3" t="s">
        <v>37</v>
      </c>
      <c r="F17" s="3" t="s">
        <v>38</v>
      </c>
      <c r="G17" s="3" t="s">
        <v>39</v>
      </c>
      <c r="H17" s="3" t="s">
        <v>49</v>
      </c>
      <c r="I17" s="3" t="s">
        <v>50</v>
      </c>
    </row>
    <row r="18" spans="1:9" ht="14.25" customHeight="1" x14ac:dyDescent="0.45">
      <c r="A18" t="s">
        <v>40</v>
      </c>
      <c r="B18" s="11">
        <v>92.6666666666667</v>
      </c>
      <c r="C18">
        <v>2.2360679774997898</v>
      </c>
      <c r="D18">
        <v>41.441793182996101</v>
      </c>
      <c r="E18">
        <v>1.53588009958822E-2</v>
      </c>
      <c r="F18">
        <v>64.254729140550197</v>
      </c>
      <c r="G18">
        <v>121.078604192783</v>
      </c>
      <c r="H18">
        <v>64.254729140550197</v>
      </c>
      <c r="I18">
        <v>121.078604192783</v>
      </c>
    </row>
    <row r="19" spans="1:9" ht="14.25" customHeight="1" x14ac:dyDescent="0.45">
      <c r="A19" t="s">
        <v>41</v>
      </c>
      <c r="B19" s="11">
        <v>-7</v>
      </c>
      <c r="C19">
        <v>2</v>
      </c>
      <c r="D19">
        <v>-3.5</v>
      </c>
      <c r="E19">
        <v>0.17717106556581</v>
      </c>
      <c r="F19">
        <v>-32.412409472349403</v>
      </c>
      <c r="G19">
        <v>18.412409472349399</v>
      </c>
      <c r="H19">
        <v>-32.412409472349403</v>
      </c>
      <c r="I19">
        <v>18.412409472349399</v>
      </c>
    </row>
    <row r="20" spans="1:9" ht="14.25" customHeight="1" x14ac:dyDescent="0.45">
      <c r="A20" t="s">
        <v>42</v>
      </c>
      <c r="B20" s="11">
        <v>-26.6666666666667</v>
      </c>
      <c r="C20">
        <v>2</v>
      </c>
      <c r="D20">
        <v>-13.3333333333333</v>
      </c>
      <c r="E20">
        <v>4.7657259209100203E-2</v>
      </c>
      <c r="F20">
        <v>-52.079076139016102</v>
      </c>
      <c r="G20">
        <v>-1.25425719431724</v>
      </c>
      <c r="H20">
        <v>-52.079076139016102</v>
      </c>
      <c r="I20">
        <v>-1.25425719431724</v>
      </c>
    </row>
    <row r="21" spans="1:9" ht="14.25" customHeight="1" x14ac:dyDescent="0.45">
      <c r="A21" t="s">
        <v>43</v>
      </c>
      <c r="B21" s="11">
        <v>-24.6666666666667</v>
      </c>
      <c r="C21">
        <v>2</v>
      </c>
      <c r="D21">
        <v>-12.3333333333333</v>
      </c>
      <c r="E21">
        <v>5.1505149187807103E-2</v>
      </c>
      <c r="F21">
        <v>-50.079076139016102</v>
      </c>
      <c r="G21">
        <v>0.74574280568274898</v>
      </c>
      <c r="H21">
        <v>-50.079076139016102</v>
      </c>
      <c r="I21">
        <v>0.74574280568274898</v>
      </c>
    </row>
    <row r="22" spans="1:9" ht="14.25" customHeight="1" x14ac:dyDescent="0.45">
      <c r="A22" t="s">
        <v>44</v>
      </c>
      <c r="B22" s="11">
        <v>-30</v>
      </c>
      <c r="C22">
        <v>2</v>
      </c>
      <c r="D22">
        <v>-15</v>
      </c>
      <c r="E22">
        <v>4.23786092698928E-2</v>
      </c>
      <c r="F22">
        <v>-55.412409472349403</v>
      </c>
      <c r="G22">
        <v>-4.5875905276505797</v>
      </c>
      <c r="H22">
        <v>-55.412409472349403</v>
      </c>
      <c r="I22">
        <v>-4.5875905276505797</v>
      </c>
    </row>
    <row r="23" spans="1:9" ht="14.25" customHeight="1" x14ac:dyDescent="0.45">
      <c r="A23" t="s">
        <v>45</v>
      </c>
      <c r="B23" s="11">
        <v>-4.6666666666666599</v>
      </c>
      <c r="C23">
        <v>1.7320508075688801</v>
      </c>
      <c r="D23">
        <v>-2.69430125621825</v>
      </c>
      <c r="E23">
        <v>0.226251072757986</v>
      </c>
      <c r="F23">
        <v>-26.6744588410936</v>
      </c>
      <c r="G23">
        <v>17.3411255077602</v>
      </c>
      <c r="H23">
        <v>-26.6744588410936</v>
      </c>
      <c r="I23">
        <v>17.3411255077602</v>
      </c>
    </row>
    <row r="24" spans="1:9" ht="14.25" customHeight="1" x14ac:dyDescent="0.45">
      <c r="A24" t="s">
        <v>46</v>
      </c>
      <c r="B24" s="11">
        <v>-7</v>
      </c>
      <c r="C24">
        <v>2</v>
      </c>
      <c r="D24">
        <v>-3.5</v>
      </c>
      <c r="E24">
        <v>0.17717106556581</v>
      </c>
      <c r="F24">
        <v>-32.412409472349403</v>
      </c>
      <c r="G24">
        <v>18.412409472349399</v>
      </c>
      <c r="H24">
        <v>-32.412409472349403</v>
      </c>
      <c r="I24">
        <v>18.412409472349399</v>
      </c>
    </row>
    <row r="25" spans="1:9" ht="14.25" customHeight="1" x14ac:dyDescent="0.45">
      <c r="A25" s="10" t="s">
        <v>47</v>
      </c>
      <c r="B25" s="12">
        <v>-5.6666666666666696</v>
      </c>
      <c r="C25" s="10">
        <v>2</v>
      </c>
      <c r="D25" s="10">
        <v>-2.8333333333333299</v>
      </c>
      <c r="E25" s="10">
        <v>0.216000386979735</v>
      </c>
      <c r="F25" s="10">
        <v>-31.079076139016099</v>
      </c>
      <c r="G25" s="10">
        <v>19.745742805682799</v>
      </c>
      <c r="H25" s="10">
        <v>-31.079076139016099</v>
      </c>
      <c r="I25" s="10">
        <v>19.745742805682799</v>
      </c>
    </row>
    <row r="27" spans="1:9" ht="14.25" customHeight="1" x14ac:dyDescent="0.45">
      <c r="A27" s="9" t="s">
        <v>55</v>
      </c>
    </row>
    <row r="28" spans="1:9" ht="14.25" customHeight="1" x14ac:dyDescent="0.45">
      <c r="A28" t="s">
        <v>19</v>
      </c>
    </row>
    <row r="29" spans="1:9" ht="14.25" customHeight="1" x14ac:dyDescent="0.45"/>
    <row r="30" spans="1:9" ht="14.25" customHeight="1" x14ac:dyDescent="0.45">
      <c r="A30" s="68" t="s">
        <v>20</v>
      </c>
      <c r="B30" s="68"/>
    </row>
    <row r="31" spans="1:9" ht="14.25" customHeight="1" x14ac:dyDescent="0.45">
      <c r="A31" t="s">
        <v>21</v>
      </c>
      <c r="B31">
        <v>0.99884013106145098</v>
      </c>
    </row>
    <row r="32" spans="1:9" ht="14.25" customHeight="1" x14ac:dyDescent="0.45">
      <c r="A32" t="s">
        <v>22</v>
      </c>
      <c r="B32">
        <v>0.99768160741885603</v>
      </c>
    </row>
    <row r="33" spans="1:9" ht="14.25" customHeight="1" x14ac:dyDescent="0.45">
      <c r="A33" t="s">
        <v>23</v>
      </c>
      <c r="B33">
        <v>0.98145285935084903</v>
      </c>
    </row>
    <row r="34" spans="1:9" ht="14.25" customHeight="1" x14ac:dyDescent="0.45">
      <c r="A34" t="s">
        <v>24</v>
      </c>
      <c r="B34">
        <v>1.6329931618554501</v>
      </c>
    </row>
    <row r="35" spans="1:9" ht="14.25" customHeight="1" x14ac:dyDescent="0.45">
      <c r="A35" s="10" t="s">
        <v>25</v>
      </c>
      <c r="B35" s="10">
        <v>9</v>
      </c>
    </row>
    <row r="37" spans="1:9" ht="14.25" customHeight="1" x14ac:dyDescent="0.45">
      <c r="A37" t="s">
        <v>26</v>
      </c>
    </row>
    <row r="38" spans="1:9" ht="14.25" customHeight="1" x14ac:dyDescent="0.45">
      <c r="A38" s="3"/>
      <c r="B38" s="3" t="s">
        <v>27</v>
      </c>
      <c r="C38" s="3" t="s">
        <v>28</v>
      </c>
      <c r="D38" s="3" t="s">
        <v>29</v>
      </c>
      <c r="E38" s="3" t="s">
        <v>30</v>
      </c>
      <c r="F38" s="3" t="s">
        <v>31</v>
      </c>
    </row>
    <row r="39" spans="1:9" ht="14.25" customHeight="1" x14ac:dyDescent="0.45">
      <c r="A39" t="s">
        <v>32</v>
      </c>
      <c r="B39">
        <v>7</v>
      </c>
      <c r="C39">
        <v>1147.55555555556</v>
      </c>
      <c r="D39">
        <v>163.93650793650801</v>
      </c>
      <c r="E39">
        <v>61.476190476190702</v>
      </c>
      <c r="F39">
        <v>9.7900430485530696E-2</v>
      </c>
    </row>
    <row r="40" spans="1:9" ht="14.25" customHeight="1" x14ac:dyDescent="0.45">
      <c r="A40" t="s">
        <v>33</v>
      </c>
      <c r="B40">
        <v>1</v>
      </c>
      <c r="C40">
        <v>2.6666666666666599</v>
      </c>
      <c r="D40">
        <v>2.6666666666666599</v>
      </c>
    </row>
    <row r="41" spans="1:9" ht="14.25" customHeight="1" x14ac:dyDescent="0.45">
      <c r="A41" s="10" t="s">
        <v>34</v>
      </c>
      <c r="B41" s="10">
        <v>8</v>
      </c>
      <c r="C41" s="10">
        <v>1150.2222222222199</v>
      </c>
      <c r="D41" s="10"/>
      <c r="E41" s="10"/>
      <c r="F41" s="10"/>
    </row>
    <row r="42" spans="1:9" ht="14.25" customHeight="1" x14ac:dyDescent="0.45"/>
    <row r="43" spans="1:9" ht="14.25" customHeight="1" x14ac:dyDescent="0.45">
      <c r="A43" s="3"/>
      <c r="B43" s="3" t="s">
        <v>35</v>
      </c>
      <c r="C43" s="3" t="s">
        <v>24</v>
      </c>
      <c r="D43" s="3" t="s">
        <v>36</v>
      </c>
      <c r="E43" s="3" t="s">
        <v>37</v>
      </c>
      <c r="F43" s="3" t="s">
        <v>38</v>
      </c>
      <c r="G43" s="3" t="s">
        <v>39</v>
      </c>
      <c r="H43" s="3" t="s">
        <v>49</v>
      </c>
      <c r="I43" s="3" t="s">
        <v>50</v>
      </c>
    </row>
    <row r="44" spans="1:9" ht="14.25" customHeight="1" x14ac:dyDescent="0.45">
      <c r="A44" t="s">
        <v>40</v>
      </c>
      <c r="B44" s="11">
        <v>51.6666666666667</v>
      </c>
      <c r="C44">
        <v>1.49071198499986</v>
      </c>
      <c r="D44">
        <v>34.659053651246801</v>
      </c>
      <c r="E44">
        <v>1.8362971249721801E-2</v>
      </c>
      <c r="F44">
        <v>32.725374982589102</v>
      </c>
      <c r="G44">
        <v>70.607958350744298</v>
      </c>
      <c r="H44">
        <v>32.725374982589102</v>
      </c>
      <c r="I44">
        <v>70.607958350744298</v>
      </c>
    </row>
    <row r="45" spans="1:9" ht="14.25" customHeight="1" x14ac:dyDescent="0.45">
      <c r="A45" t="s">
        <v>41</v>
      </c>
      <c r="B45" s="11">
        <v>-4.0000000000000098</v>
      </c>
      <c r="C45">
        <v>1.3333333333333299</v>
      </c>
      <c r="D45">
        <v>-3.0000000000000102</v>
      </c>
      <c r="E45">
        <v>0.204832764699133</v>
      </c>
      <c r="F45">
        <v>-20.941606314899602</v>
      </c>
      <c r="G45">
        <v>12.9416063148996</v>
      </c>
      <c r="H45">
        <v>-20.941606314899602</v>
      </c>
      <c r="I45">
        <v>12.9416063148996</v>
      </c>
    </row>
    <row r="46" spans="1:9" ht="14.25" customHeight="1" x14ac:dyDescent="0.45">
      <c r="A46" t="s">
        <v>42</v>
      </c>
      <c r="B46" s="11">
        <v>-6.3333333333333401</v>
      </c>
      <c r="C46">
        <v>1.3333333333333299</v>
      </c>
      <c r="D46">
        <v>-4.7500000000000098</v>
      </c>
      <c r="E46">
        <v>0.13209620044031101</v>
      </c>
      <c r="F46">
        <v>-23.274939648232898</v>
      </c>
      <c r="G46">
        <v>10.6082729815662</v>
      </c>
      <c r="H46">
        <v>-23.274939648232898</v>
      </c>
      <c r="I46">
        <v>10.6082729815662</v>
      </c>
    </row>
    <row r="47" spans="1:9" ht="14.25" customHeight="1" x14ac:dyDescent="0.45">
      <c r="A47" t="s">
        <v>43</v>
      </c>
      <c r="B47" s="11">
        <v>-15</v>
      </c>
      <c r="C47">
        <v>1.3333333333333299</v>
      </c>
      <c r="D47">
        <v>-11.25</v>
      </c>
      <c r="E47">
        <v>5.6440087333495099E-2</v>
      </c>
      <c r="F47">
        <v>-31.941606314899602</v>
      </c>
      <c r="G47">
        <v>1.9416063148995699</v>
      </c>
      <c r="H47">
        <v>-31.941606314899602</v>
      </c>
      <c r="I47">
        <v>1.9416063148995699</v>
      </c>
    </row>
    <row r="48" spans="1:9" ht="14.25" customHeight="1" x14ac:dyDescent="0.45">
      <c r="A48" t="s">
        <v>44</v>
      </c>
      <c r="B48" s="11">
        <v>-26.3333333333333</v>
      </c>
      <c r="C48">
        <v>1.3333333333333299</v>
      </c>
      <c r="D48">
        <v>-19.750000000000099</v>
      </c>
      <c r="E48">
        <v>3.2206408880907797E-2</v>
      </c>
      <c r="F48">
        <v>-43.274939648232902</v>
      </c>
      <c r="G48">
        <v>-9.3917270184337696</v>
      </c>
      <c r="H48">
        <v>-43.274939648232902</v>
      </c>
      <c r="I48">
        <v>-9.3917270184337696</v>
      </c>
    </row>
    <row r="49" spans="1:9" ht="14.25" customHeight="1" x14ac:dyDescent="0.45">
      <c r="A49" t="s">
        <v>45</v>
      </c>
      <c r="B49" s="11">
        <v>-3.3333333333333299</v>
      </c>
      <c r="C49">
        <v>1.1547005383792499</v>
      </c>
      <c r="D49">
        <v>-2.88675134594813</v>
      </c>
      <c r="E49">
        <v>0.21229561500965599</v>
      </c>
      <c r="F49">
        <v>-18.0051947829512</v>
      </c>
      <c r="G49">
        <v>11.3385281162846</v>
      </c>
      <c r="H49">
        <v>-18.0051947829512</v>
      </c>
      <c r="I49">
        <v>11.3385281162846</v>
      </c>
    </row>
    <row r="50" spans="1:9" ht="14.25" customHeight="1" x14ac:dyDescent="0.45">
      <c r="A50" t="s">
        <v>46</v>
      </c>
      <c r="B50" s="11">
        <v>-3.3333333333333401</v>
      </c>
      <c r="C50">
        <v>1.3333333333333299</v>
      </c>
      <c r="D50">
        <v>-2.5000000000000102</v>
      </c>
      <c r="E50">
        <v>0.24223788318168599</v>
      </c>
      <c r="F50">
        <v>-20.274939648232898</v>
      </c>
      <c r="G50">
        <v>13.6082729815662</v>
      </c>
      <c r="H50">
        <v>-20.274939648232898</v>
      </c>
      <c r="I50">
        <v>13.6082729815662</v>
      </c>
    </row>
    <row r="51" spans="1:9" ht="14.25" customHeight="1" x14ac:dyDescent="0.45">
      <c r="A51" s="10" t="s">
        <v>47</v>
      </c>
      <c r="B51" s="12">
        <v>-2</v>
      </c>
      <c r="C51" s="10">
        <v>1.3333333333333299</v>
      </c>
      <c r="D51" s="10">
        <v>-1.50000000000001</v>
      </c>
      <c r="E51" s="10">
        <v>0.37433408362199699</v>
      </c>
      <c r="F51" s="10">
        <v>-18.941606314899602</v>
      </c>
      <c r="G51" s="10">
        <v>14.9416063148996</v>
      </c>
      <c r="H51" s="10">
        <v>-18.941606314899602</v>
      </c>
      <c r="I51" s="10">
        <v>14.9416063148996</v>
      </c>
    </row>
    <row r="52" spans="1:9" ht="14.25" customHeight="1" x14ac:dyDescent="0.45">
      <c r="B52" s="11"/>
    </row>
    <row r="53" spans="1:9" ht="14.25" customHeight="1" x14ac:dyDescent="0.45">
      <c r="A53" s="9" t="s">
        <v>56</v>
      </c>
      <c r="B53" s="11"/>
    </row>
    <row r="54" spans="1:9" ht="14.25" customHeight="1" x14ac:dyDescent="0.45">
      <c r="A54" t="s">
        <v>19</v>
      </c>
    </row>
    <row r="55" spans="1:9" ht="14.25" customHeight="1" x14ac:dyDescent="0.45"/>
    <row r="56" spans="1:9" ht="14.25" customHeight="1" x14ac:dyDescent="0.45">
      <c r="A56" s="68" t="s">
        <v>20</v>
      </c>
      <c r="B56" s="68"/>
    </row>
    <row r="57" spans="1:9" ht="14.25" customHeight="1" x14ac:dyDescent="0.45">
      <c r="A57" t="s">
        <v>21</v>
      </c>
      <c r="B57">
        <v>0.99534921258434095</v>
      </c>
    </row>
    <row r="58" spans="1:9" ht="14.25" customHeight="1" x14ac:dyDescent="0.45">
      <c r="A58" t="s">
        <v>22</v>
      </c>
      <c r="B58">
        <v>0.99072005499226701</v>
      </c>
    </row>
    <row r="59" spans="1:9" ht="14.25" customHeight="1" x14ac:dyDescent="0.45">
      <c r="A59" t="s">
        <v>23</v>
      </c>
      <c r="B59">
        <v>0.92576043993813295</v>
      </c>
    </row>
    <row r="60" spans="1:9" ht="14.25" customHeight="1" x14ac:dyDescent="0.45">
      <c r="A60" t="s">
        <v>24</v>
      </c>
      <c r="B60">
        <v>4.8989794855663602</v>
      </c>
    </row>
    <row r="61" spans="1:9" ht="14.25" customHeight="1" x14ac:dyDescent="0.45">
      <c r="A61" s="10" t="s">
        <v>25</v>
      </c>
      <c r="B61" s="10">
        <v>9</v>
      </c>
    </row>
    <row r="63" spans="1:9" ht="14.25" customHeight="1" x14ac:dyDescent="0.45">
      <c r="A63" t="s">
        <v>26</v>
      </c>
    </row>
    <row r="64" spans="1:9" ht="14.25" customHeight="1" x14ac:dyDescent="0.45">
      <c r="A64" s="3"/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</row>
    <row r="65" spans="1:9" ht="14.25" customHeight="1" x14ac:dyDescent="0.45">
      <c r="A65" t="s">
        <v>32</v>
      </c>
      <c r="B65">
        <v>7</v>
      </c>
      <c r="C65">
        <v>2562.2222222222199</v>
      </c>
      <c r="D65">
        <v>366.03174603174602</v>
      </c>
      <c r="E65">
        <v>15.2513227513227</v>
      </c>
      <c r="F65">
        <v>0.19473559574264501</v>
      </c>
    </row>
    <row r="66" spans="1:9" ht="14.25" customHeight="1" x14ac:dyDescent="0.45">
      <c r="A66" t="s">
        <v>33</v>
      </c>
      <c r="B66">
        <v>1</v>
      </c>
      <c r="C66">
        <v>24</v>
      </c>
      <c r="D66">
        <v>24</v>
      </c>
    </row>
    <row r="67" spans="1:9" ht="14.25" customHeight="1" x14ac:dyDescent="0.45">
      <c r="A67" s="10" t="s">
        <v>34</v>
      </c>
      <c r="B67" s="10">
        <v>8</v>
      </c>
      <c r="C67" s="10">
        <v>2586.2222222222199</v>
      </c>
      <c r="D67" s="10"/>
      <c r="E67" s="10"/>
      <c r="F67" s="10"/>
    </row>
    <row r="68" spans="1:9" ht="14.25" customHeight="1" x14ac:dyDescent="0.45"/>
    <row r="69" spans="1:9" ht="14.25" customHeight="1" x14ac:dyDescent="0.45">
      <c r="A69" s="3"/>
      <c r="B69" s="3" t="s">
        <v>35</v>
      </c>
      <c r="C69" s="3" t="s">
        <v>24</v>
      </c>
      <c r="D69" s="3" t="s">
        <v>36</v>
      </c>
      <c r="E69" s="3" t="s">
        <v>37</v>
      </c>
      <c r="F69" s="3" t="s">
        <v>38</v>
      </c>
      <c r="G69" s="3" t="s">
        <v>39</v>
      </c>
      <c r="H69" s="3" t="s">
        <v>49</v>
      </c>
      <c r="I69" s="3" t="s">
        <v>50</v>
      </c>
    </row>
    <row r="70" spans="1:9" ht="14.25" customHeight="1" x14ac:dyDescent="0.45">
      <c r="A70" t="s">
        <v>40</v>
      </c>
      <c r="B70" s="11">
        <v>98.3333333333333</v>
      </c>
      <c r="C70">
        <v>4.4721359549995796</v>
      </c>
      <c r="D70">
        <v>21.988001778747901</v>
      </c>
      <c r="E70">
        <v>2.8933115463874899E-2</v>
      </c>
      <c r="F70">
        <v>41.5094582811005</v>
      </c>
      <c r="G70">
        <v>155.15720838556601</v>
      </c>
      <c r="H70">
        <v>41.5094582811005</v>
      </c>
      <c r="I70">
        <v>155.15720838556601</v>
      </c>
    </row>
    <row r="71" spans="1:9" ht="14.25" customHeight="1" x14ac:dyDescent="0.45">
      <c r="A71" t="s">
        <v>41</v>
      </c>
      <c r="B71" s="11">
        <v>-25</v>
      </c>
      <c r="C71">
        <v>4</v>
      </c>
      <c r="D71">
        <v>-6.25</v>
      </c>
      <c r="E71">
        <v>0.101003076898026</v>
      </c>
      <c r="F71">
        <v>-75.824818944698904</v>
      </c>
      <c r="G71">
        <v>25.824818944698901</v>
      </c>
      <c r="H71">
        <v>-75.824818944698904</v>
      </c>
      <c r="I71">
        <v>25.824818944698901</v>
      </c>
    </row>
    <row r="72" spans="1:9" ht="14.25" customHeight="1" x14ac:dyDescent="0.45">
      <c r="A72" t="s">
        <v>42</v>
      </c>
      <c r="B72" s="11">
        <v>-34.3333333333333</v>
      </c>
      <c r="C72">
        <v>4</v>
      </c>
      <c r="D72">
        <v>-8.5833333333333304</v>
      </c>
      <c r="E72">
        <v>7.3836424558604702E-2</v>
      </c>
      <c r="F72">
        <v>-85.158152278032205</v>
      </c>
      <c r="G72">
        <v>16.491485611365501</v>
      </c>
      <c r="H72">
        <v>-85.158152278032205</v>
      </c>
      <c r="I72">
        <v>16.491485611365501</v>
      </c>
    </row>
    <row r="73" spans="1:9" ht="14.25" customHeight="1" x14ac:dyDescent="0.45">
      <c r="A73" t="s">
        <v>43</v>
      </c>
      <c r="B73" s="11">
        <v>-6.3333333333333401</v>
      </c>
      <c r="C73">
        <v>4</v>
      </c>
      <c r="D73">
        <v>-1.5833333333333299</v>
      </c>
      <c r="E73">
        <v>0.35861827016197401</v>
      </c>
      <c r="F73">
        <v>-57.158152278032198</v>
      </c>
      <c r="G73">
        <v>44.491485611365498</v>
      </c>
      <c r="H73">
        <v>-57.158152278032198</v>
      </c>
      <c r="I73">
        <v>44.491485611365498</v>
      </c>
    </row>
    <row r="74" spans="1:9" ht="14.25" customHeight="1" x14ac:dyDescent="0.45">
      <c r="A74" t="s">
        <v>44</v>
      </c>
      <c r="B74" s="11">
        <v>-12</v>
      </c>
      <c r="C74">
        <v>4</v>
      </c>
      <c r="D74">
        <v>-3</v>
      </c>
      <c r="E74">
        <v>0.204832764699133</v>
      </c>
      <c r="F74">
        <v>-62.824818944698897</v>
      </c>
      <c r="G74">
        <v>38.824818944698798</v>
      </c>
      <c r="H74">
        <v>-62.824818944698897</v>
      </c>
      <c r="I74">
        <v>38.824818944698798</v>
      </c>
    </row>
    <row r="75" spans="1:9" ht="14.25" customHeight="1" x14ac:dyDescent="0.45">
      <c r="A75" t="s">
        <v>45</v>
      </c>
      <c r="B75" s="11">
        <v>-9.3333333333333197</v>
      </c>
      <c r="C75">
        <v>3.4641016151377602</v>
      </c>
      <c r="D75">
        <v>-2.69430125621825</v>
      </c>
      <c r="E75">
        <v>0.226251072757986</v>
      </c>
      <c r="F75">
        <v>-53.3489176821871</v>
      </c>
      <c r="G75">
        <v>34.682251015520499</v>
      </c>
      <c r="H75">
        <v>-53.3489176821871</v>
      </c>
      <c r="I75">
        <v>34.682251015520499</v>
      </c>
    </row>
    <row r="76" spans="1:9" ht="14.25" customHeight="1" x14ac:dyDescent="0.45">
      <c r="A76" t="s">
        <v>46</v>
      </c>
      <c r="B76" s="11">
        <v>-4</v>
      </c>
      <c r="C76">
        <v>4</v>
      </c>
      <c r="D76">
        <v>-0.999999999999999</v>
      </c>
      <c r="E76">
        <v>0.5</v>
      </c>
      <c r="F76">
        <v>-54.824818944698798</v>
      </c>
      <c r="G76">
        <v>46.824818944698897</v>
      </c>
      <c r="H76">
        <v>-54.824818944698798</v>
      </c>
      <c r="I76">
        <v>46.824818944698897</v>
      </c>
    </row>
    <row r="77" spans="1:9" ht="14.25" customHeight="1" x14ac:dyDescent="0.45">
      <c r="A77" s="10" t="s">
        <v>47</v>
      </c>
      <c r="B77" s="12">
        <v>-13.3333333333333</v>
      </c>
      <c r="C77" s="10">
        <v>4</v>
      </c>
      <c r="D77" s="10">
        <v>-3.3333333333333299</v>
      </c>
      <c r="E77" s="10">
        <v>0.185547158155485</v>
      </c>
      <c r="F77" s="10">
        <v>-64.158152278032205</v>
      </c>
      <c r="G77" s="10">
        <v>37.491485611365498</v>
      </c>
      <c r="H77" s="10">
        <v>-64.158152278032205</v>
      </c>
      <c r="I77" s="10">
        <v>37.491485611365498</v>
      </c>
    </row>
    <row r="78" spans="1:9" ht="14.25" customHeight="1" x14ac:dyDescent="0.45">
      <c r="B78" s="11"/>
    </row>
    <row r="79" spans="1:9" ht="14.25" customHeight="1" x14ac:dyDescent="0.45">
      <c r="A79" s="9" t="s">
        <v>57</v>
      </c>
      <c r="B79" s="11"/>
    </row>
    <row r="80" spans="1:9" ht="14.25" customHeight="1" x14ac:dyDescent="0.45">
      <c r="A80" t="s">
        <v>19</v>
      </c>
    </row>
    <row r="81" spans="1:9" ht="14.25" customHeight="1" x14ac:dyDescent="0.45"/>
    <row r="82" spans="1:9" ht="14.25" customHeight="1" x14ac:dyDescent="0.45">
      <c r="A82" s="68" t="s">
        <v>20</v>
      </c>
      <c r="B82" s="68"/>
    </row>
    <row r="83" spans="1:9" ht="14.25" customHeight="1" x14ac:dyDescent="0.45">
      <c r="A83" t="s">
        <v>21</v>
      </c>
      <c r="B83">
        <v>0.99433808154748704</v>
      </c>
    </row>
    <row r="84" spans="1:9" ht="14.25" customHeight="1" x14ac:dyDescent="0.45">
      <c r="A84" t="s">
        <v>22</v>
      </c>
      <c r="B84">
        <v>0.98870822041553696</v>
      </c>
    </row>
    <row r="85" spans="1:9" ht="14.25" customHeight="1" x14ac:dyDescent="0.45">
      <c r="A85" t="s">
        <v>23</v>
      </c>
      <c r="B85">
        <v>0.90966576332429905</v>
      </c>
    </row>
    <row r="86" spans="1:9" ht="14.25" customHeight="1" x14ac:dyDescent="0.45">
      <c r="A86" t="s">
        <v>24</v>
      </c>
      <c r="B86">
        <v>4.0824829046386304</v>
      </c>
    </row>
    <row r="87" spans="1:9" ht="14.25" customHeight="1" x14ac:dyDescent="0.45">
      <c r="A87" s="10" t="s">
        <v>25</v>
      </c>
      <c r="B87" s="10">
        <v>9</v>
      </c>
    </row>
    <row r="89" spans="1:9" ht="14.25" customHeight="1" x14ac:dyDescent="0.45">
      <c r="A89" t="s">
        <v>26</v>
      </c>
    </row>
    <row r="90" spans="1:9" ht="14.25" customHeight="1" x14ac:dyDescent="0.45">
      <c r="A90" s="3"/>
      <c r="B90" s="3" t="s">
        <v>27</v>
      </c>
      <c r="C90" s="3" t="s">
        <v>28</v>
      </c>
      <c r="D90" s="3" t="s">
        <v>29</v>
      </c>
      <c r="E90" s="3" t="s">
        <v>30</v>
      </c>
      <c r="F90" s="3" t="s">
        <v>31</v>
      </c>
    </row>
    <row r="91" spans="1:9" ht="14.25" customHeight="1" x14ac:dyDescent="0.45">
      <c r="A91" t="s">
        <v>32</v>
      </c>
      <c r="B91">
        <v>7</v>
      </c>
      <c r="C91">
        <v>1459.3333333333301</v>
      </c>
      <c r="D91">
        <v>208.47619047619</v>
      </c>
      <c r="E91">
        <v>12.5085714285714</v>
      </c>
      <c r="F91">
        <v>0.21445009911316801</v>
      </c>
    </row>
    <row r="92" spans="1:9" ht="14.25" customHeight="1" x14ac:dyDescent="0.45">
      <c r="A92" t="s">
        <v>33</v>
      </c>
      <c r="B92">
        <v>1</v>
      </c>
      <c r="C92">
        <v>16.6666666666667</v>
      </c>
      <c r="D92">
        <v>16.6666666666667</v>
      </c>
    </row>
    <row r="93" spans="1:9" ht="14.25" customHeight="1" x14ac:dyDescent="0.45">
      <c r="A93" s="10" t="s">
        <v>34</v>
      </c>
      <c r="B93" s="10">
        <v>8</v>
      </c>
      <c r="C93" s="10">
        <v>1476</v>
      </c>
      <c r="D93" s="10"/>
      <c r="E93" s="10"/>
      <c r="F93" s="10"/>
    </row>
    <row r="94" spans="1:9" ht="14.25" customHeight="1" x14ac:dyDescent="0.45"/>
    <row r="95" spans="1:9" ht="14.25" customHeight="1" x14ac:dyDescent="0.45">
      <c r="A95" s="3"/>
      <c r="B95" s="3" t="s">
        <v>35</v>
      </c>
      <c r="C95" s="3" t="s">
        <v>24</v>
      </c>
      <c r="D95" s="3" t="s">
        <v>36</v>
      </c>
      <c r="E95" s="3" t="s">
        <v>37</v>
      </c>
      <c r="F95" s="3" t="s">
        <v>38</v>
      </c>
      <c r="G95" s="3" t="s">
        <v>39</v>
      </c>
      <c r="H95" s="3" t="s">
        <v>49</v>
      </c>
      <c r="I95" s="3" t="s">
        <v>50</v>
      </c>
    </row>
    <row r="96" spans="1:9" ht="14.25" customHeight="1" x14ac:dyDescent="0.45">
      <c r="A96" t="s">
        <v>40</v>
      </c>
      <c r="B96" s="11">
        <v>56.6666666666667</v>
      </c>
      <c r="C96">
        <v>3.7267799624996498</v>
      </c>
      <c r="D96">
        <v>15.205262246998601</v>
      </c>
      <c r="E96">
        <v>4.1808177201457498E-2</v>
      </c>
      <c r="F96">
        <v>9.3134374564726095</v>
      </c>
      <c r="G96">
        <v>104.019895876861</v>
      </c>
      <c r="H96">
        <v>9.3134374564726095</v>
      </c>
      <c r="I96">
        <v>104.019895876861</v>
      </c>
    </row>
    <row r="97" spans="1:9" ht="14.25" customHeight="1" x14ac:dyDescent="0.45">
      <c r="A97" t="s">
        <v>41</v>
      </c>
      <c r="B97" s="11">
        <v>-5.6666666666666696</v>
      </c>
      <c r="C97">
        <v>3.3333333333333401</v>
      </c>
      <c r="D97">
        <v>-1.7</v>
      </c>
      <c r="E97">
        <v>0.33850605466066502</v>
      </c>
      <c r="F97">
        <v>-48.020682453915697</v>
      </c>
      <c r="G97">
        <v>36.687349120582397</v>
      </c>
      <c r="H97">
        <v>-48.020682453915697</v>
      </c>
      <c r="I97">
        <v>36.687349120582397</v>
      </c>
    </row>
    <row r="98" spans="1:9" ht="14.25" customHeight="1" x14ac:dyDescent="0.45">
      <c r="A98" t="s">
        <v>42</v>
      </c>
      <c r="B98" s="11">
        <v>-10.3333333333333</v>
      </c>
      <c r="C98">
        <v>3.3333333333333299</v>
      </c>
      <c r="D98">
        <v>-3.1</v>
      </c>
      <c r="E98">
        <v>0.19865218439823701</v>
      </c>
      <c r="F98">
        <v>-52.687349120582397</v>
      </c>
      <c r="G98">
        <v>32.020682453915697</v>
      </c>
      <c r="H98">
        <v>-52.687349120582397</v>
      </c>
      <c r="I98">
        <v>32.020682453915697</v>
      </c>
    </row>
    <row r="99" spans="1:9" ht="14.25" customHeight="1" x14ac:dyDescent="0.45">
      <c r="A99" t="s">
        <v>43</v>
      </c>
      <c r="B99" s="11">
        <v>-19.3333333333333</v>
      </c>
      <c r="C99">
        <v>3.3333333333333299</v>
      </c>
      <c r="D99">
        <v>-5.8</v>
      </c>
      <c r="E99">
        <v>0.10869341146452501</v>
      </c>
      <c r="F99">
        <v>-61.687349120582397</v>
      </c>
      <c r="G99">
        <v>23.0206824539157</v>
      </c>
      <c r="H99">
        <v>-61.687349120582397</v>
      </c>
      <c r="I99">
        <v>23.0206824539157</v>
      </c>
    </row>
    <row r="100" spans="1:9" ht="14.25" customHeight="1" x14ac:dyDescent="0.45">
      <c r="A100" t="s">
        <v>44</v>
      </c>
      <c r="B100" s="11">
        <v>-24.6666666666667</v>
      </c>
      <c r="C100">
        <v>3.3333333333333299</v>
      </c>
      <c r="D100">
        <v>-7.4</v>
      </c>
      <c r="E100">
        <v>8.5511685800184103E-2</v>
      </c>
      <c r="F100">
        <v>-67.020682453915697</v>
      </c>
      <c r="G100">
        <v>17.6873491205824</v>
      </c>
      <c r="H100">
        <v>-67.020682453915697</v>
      </c>
      <c r="I100">
        <v>17.6873491205824</v>
      </c>
    </row>
    <row r="101" spans="1:9" ht="14.25" customHeight="1" x14ac:dyDescent="0.45">
      <c r="A101" t="s">
        <v>45</v>
      </c>
      <c r="B101" s="11">
        <v>-8.9999999999999893</v>
      </c>
      <c r="C101">
        <v>2.88675134594813</v>
      </c>
      <c r="D101">
        <v>-3.1176914536239799</v>
      </c>
      <c r="E101">
        <v>0.197596124003031</v>
      </c>
      <c r="F101">
        <v>-45.679653624044803</v>
      </c>
      <c r="G101">
        <v>27.6796536240448</v>
      </c>
      <c r="H101">
        <v>-45.679653624044803</v>
      </c>
      <c r="I101">
        <v>27.6796536240448</v>
      </c>
    </row>
    <row r="102" spans="1:9" ht="14.25" customHeight="1" x14ac:dyDescent="0.45">
      <c r="A102" t="s">
        <v>46</v>
      </c>
      <c r="B102" s="11">
        <v>-9</v>
      </c>
      <c r="C102">
        <v>3.3333333333333299</v>
      </c>
      <c r="D102">
        <v>-2.7</v>
      </c>
      <c r="E102">
        <v>0.22581263144069899</v>
      </c>
      <c r="F102">
        <v>-51.354015787248997</v>
      </c>
      <c r="G102">
        <v>33.354015787248997</v>
      </c>
      <c r="H102">
        <v>-51.354015787248997</v>
      </c>
      <c r="I102">
        <v>33.354015787248997</v>
      </c>
    </row>
    <row r="103" spans="1:9" ht="14.25" customHeight="1" x14ac:dyDescent="0.45">
      <c r="A103" s="10" t="s">
        <v>47</v>
      </c>
      <c r="B103" s="12">
        <v>-6</v>
      </c>
      <c r="C103" s="10">
        <v>3.3333333333333299</v>
      </c>
      <c r="D103" s="10">
        <v>-1.8</v>
      </c>
      <c r="E103" s="10">
        <v>0.32282893443418997</v>
      </c>
      <c r="F103" s="10">
        <v>-48.354015787248997</v>
      </c>
      <c r="G103" s="10">
        <v>36.354015787248997</v>
      </c>
      <c r="H103" s="10">
        <v>-48.354015787248997</v>
      </c>
      <c r="I103" s="10">
        <v>36.354015787248997</v>
      </c>
    </row>
    <row r="105" spans="1:9" ht="14.25" customHeight="1" x14ac:dyDescent="0.45">
      <c r="A105" s="9" t="s">
        <v>58</v>
      </c>
    </row>
    <row r="106" spans="1:9" ht="14.25" customHeight="1" x14ac:dyDescent="0.45">
      <c r="A106" t="s">
        <v>19</v>
      </c>
    </row>
    <row r="107" spans="1:9" ht="14.25" customHeight="1" x14ac:dyDescent="0.45"/>
    <row r="108" spans="1:9" ht="14.25" customHeight="1" x14ac:dyDescent="0.45">
      <c r="A108" s="68" t="s">
        <v>20</v>
      </c>
      <c r="B108" s="68"/>
    </row>
    <row r="109" spans="1:9" ht="14.25" customHeight="1" x14ac:dyDescent="0.45">
      <c r="A109" t="s">
        <v>21</v>
      </c>
      <c r="B109">
        <v>1</v>
      </c>
    </row>
    <row r="110" spans="1:9" ht="14.25" customHeight="1" x14ac:dyDescent="0.45">
      <c r="A110" t="s">
        <v>22</v>
      </c>
      <c r="B110">
        <v>1</v>
      </c>
    </row>
    <row r="111" spans="1:9" ht="14.25" customHeight="1" x14ac:dyDescent="0.45">
      <c r="A111" t="s">
        <v>23</v>
      </c>
      <c r="B111">
        <v>1</v>
      </c>
    </row>
    <row r="112" spans="1:9" ht="14.25" customHeight="1" x14ac:dyDescent="0.45">
      <c r="A112" t="s">
        <v>24</v>
      </c>
      <c r="B112">
        <v>0</v>
      </c>
    </row>
    <row r="113" spans="1:9" ht="14.25" customHeight="1" x14ac:dyDescent="0.45">
      <c r="A113" s="10" t="s">
        <v>25</v>
      </c>
      <c r="B113" s="10">
        <v>9</v>
      </c>
    </row>
    <row r="115" spans="1:9" ht="14.25" customHeight="1" x14ac:dyDescent="0.45">
      <c r="A115" t="s">
        <v>26</v>
      </c>
    </row>
    <row r="116" spans="1:9" ht="14.25" customHeight="1" x14ac:dyDescent="0.45">
      <c r="A116" s="3"/>
      <c r="B116" s="3" t="s">
        <v>27</v>
      </c>
      <c r="C116" s="3" t="s">
        <v>28</v>
      </c>
      <c r="D116" s="3" t="s">
        <v>29</v>
      </c>
      <c r="E116" s="3" t="s">
        <v>30</v>
      </c>
      <c r="F116" s="3" t="s">
        <v>31</v>
      </c>
    </row>
    <row r="117" spans="1:9" ht="14.25" customHeight="1" x14ac:dyDescent="0.45">
      <c r="A117" t="s">
        <v>32</v>
      </c>
      <c r="B117">
        <v>7</v>
      </c>
      <c r="C117">
        <v>3566</v>
      </c>
      <c r="D117">
        <v>509.42857142857099</v>
      </c>
      <c r="E117" s="13" t="s">
        <v>59</v>
      </c>
      <c r="F117" s="13" t="s">
        <v>59</v>
      </c>
    </row>
    <row r="118" spans="1:9" ht="14.25" customHeight="1" x14ac:dyDescent="0.45">
      <c r="A118" t="s">
        <v>33</v>
      </c>
      <c r="B118">
        <v>1</v>
      </c>
      <c r="C118">
        <v>0</v>
      </c>
      <c r="D118">
        <v>0</v>
      </c>
    </row>
    <row r="119" spans="1:9" ht="14.25" customHeight="1" x14ac:dyDescent="0.45">
      <c r="A119" s="10" t="s">
        <v>34</v>
      </c>
      <c r="B119" s="10">
        <v>8</v>
      </c>
      <c r="C119" s="10">
        <v>3566</v>
      </c>
      <c r="D119" s="10"/>
      <c r="E119" s="10"/>
      <c r="F119" s="10"/>
    </row>
    <row r="120" spans="1:9" ht="14.25" customHeight="1" x14ac:dyDescent="0.45"/>
    <row r="121" spans="1:9" ht="14.25" customHeight="1" x14ac:dyDescent="0.45">
      <c r="A121" s="3"/>
      <c r="B121" s="3" t="s">
        <v>35</v>
      </c>
      <c r="C121" s="3" t="s">
        <v>24</v>
      </c>
      <c r="D121" s="3" t="s">
        <v>36</v>
      </c>
      <c r="E121" s="3" t="s">
        <v>37</v>
      </c>
      <c r="F121" s="3" t="s">
        <v>38</v>
      </c>
      <c r="G121" s="3" t="s">
        <v>39</v>
      </c>
      <c r="H121" s="3" t="s">
        <v>49</v>
      </c>
      <c r="I121" s="3" t="s">
        <v>50</v>
      </c>
    </row>
    <row r="122" spans="1:9" ht="14.25" customHeight="1" x14ac:dyDescent="0.45">
      <c r="A122" t="s">
        <v>40</v>
      </c>
      <c r="B122" s="11">
        <v>88.6666666666667</v>
      </c>
      <c r="C122">
        <v>0</v>
      </c>
      <c r="D122" s="13" t="s">
        <v>59</v>
      </c>
      <c r="E122" s="13" t="s">
        <v>59</v>
      </c>
      <c r="F122">
        <v>88.6666666666667</v>
      </c>
      <c r="G122">
        <v>88.6666666666667</v>
      </c>
      <c r="H122">
        <v>88.6666666666667</v>
      </c>
      <c r="I122">
        <v>88.6666666666667</v>
      </c>
    </row>
    <row r="123" spans="1:9" ht="14.25" customHeight="1" x14ac:dyDescent="0.45">
      <c r="A123" t="s">
        <v>41</v>
      </c>
      <c r="B123" s="11">
        <v>-15.3333333333334</v>
      </c>
      <c r="C123">
        <v>0</v>
      </c>
      <c r="D123" s="13" t="s">
        <v>59</v>
      </c>
      <c r="E123" s="13" t="s">
        <v>59</v>
      </c>
      <c r="F123">
        <v>-15.3333333333334</v>
      </c>
      <c r="G123">
        <v>-15.3333333333334</v>
      </c>
      <c r="H123">
        <v>-15.3333333333334</v>
      </c>
      <c r="I123">
        <v>-15.3333333333334</v>
      </c>
    </row>
    <row r="124" spans="1:9" ht="14.25" customHeight="1" x14ac:dyDescent="0.45">
      <c r="A124" t="s">
        <v>42</v>
      </c>
      <c r="B124" s="11">
        <v>-16.6666666666667</v>
      </c>
      <c r="C124">
        <v>0</v>
      </c>
      <c r="D124" s="13" t="s">
        <v>59</v>
      </c>
      <c r="E124" s="13" t="s">
        <v>59</v>
      </c>
      <c r="F124">
        <v>-16.6666666666667</v>
      </c>
      <c r="G124">
        <v>-16.6666666666667</v>
      </c>
      <c r="H124">
        <v>-16.6666666666667</v>
      </c>
      <c r="I124">
        <v>-16.6666666666667</v>
      </c>
    </row>
    <row r="125" spans="1:9" ht="14.25" customHeight="1" x14ac:dyDescent="0.45">
      <c r="A125" t="s">
        <v>43</v>
      </c>
      <c r="B125" s="11">
        <v>-30.3333333333333</v>
      </c>
      <c r="C125">
        <v>0</v>
      </c>
      <c r="D125" s="13" t="s">
        <v>59</v>
      </c>
      <c r="E125" s="13" t="s">
        <v>59</v>
      </c>
      <c r="F125">
        <v>-30.3333333333333</v>
      </c>
      <c r="G125">
        <v>-30.3333333333333</v>
      </c>
      <c r="H125">
        <v>-30.3333333333333</v>
      </c>
      <c r="I125">
        <v>-30.3333333333333</v>
      </c>
    </row>
    <row r="126" spans="1:9" ht="14.25" customHeight="1" x14ac:dyDescent="0.45">
      <c r="A126" t="s">
        <v>44</v>
      </c>
      <c r="B126" s="11">
        <v>-36.6666666666667</v>
      </c>
      <c r="C126">
        <v>0</v>
      </c>
      <c r="D126" s="13" t="s">
        <v>59</v>
      </c>
      <c r="E126" s="13" t="s">
        <v>59</v>
      </c>
      <c r="F126">
        <v>-36.6666666666667</v>
      </c>
      <c r="G126">
        <v>-36.6666666666667</v>
      </c>
      <c r="H126">
        <v>-36.6666666666667</v>
      </c>
      <c r="I126">
        <v>-36.6666666666667</v>
      </c>
    </row>
    <row r="127" spans="1:9" ht="14.25" customHeight="1" x14ac:dyDescent="0.45">
      <c r="A127" t="s">
        <v>45</v>
      </c>
      <c r="B127" s="11">
        <v>-0.999999999999994</v>
      </c>
      <c r="C127">
        <v>0</v>
      </c>
      <c r="D127" s="13" t="s">
        <v>59</v>
      </c>
      <c r="E127" s="13" t="s">
        <v>59</v>
      </c>
      <c r="F127">
        <v>-0.999999999999994</v>
      </c>
      <c r="G127">
        <v>-0.999999999999994</v>
      </c>
      <c r="H127">
        <v>-0.999999999999994</v>
      </c>
      <c r="I127">
        <v>-0.999999999999994</v>
      </c>
    </row>
    <row r="128" spans="1:9" ht="14.25" customHeight="1" x14ac:dyDescent="0.45">
      <c r="A128" t="s">
        <v>46</v>
      </c>
      <c r="B128" s="11">
        <v>-6.3333333333333304</v>
      </c>
      <c r="C128">
        <v>0</v>
      </c>
      <c r="D128" s="13" t="s">
        <v>59</v>
      </c>
      <c r="E128" s="13" t="s">
        <v>59</v>
      </c>
      <c r="F128">
        <v>-6.3333333333333304</v>
      </c>
      <c r="G128">
        <v>-6.3333333333333304</v>
      </c>
      <c r="H128">
        <v>-6.3333333333333304</v>
      </c>
      <c r="I128">
        <v>-6.3333333333333304</v>
      </c>
    </row>
    <row r="129" spans="1:9" ht="14.25" customHeight="1" x14ac:dyDescent="0.45">
      <c r="A129" s="10" t="s">
        <v>47</v>
      </c>
      <c r="B129" s="12">
        <v>-21.6666666666667</v>
      </c>
      <c r="C129" s="10">
        <v>0</v>
      </c>
      <c r="D129" s="14" t="s">
        <v>59</v>
      </c>
      <c r="E129" s="14" t="s">
        <v>59</v>
      </c>
      <c r="F129" s="10">
        <v>-21.6666666666667</v>
      </c>
      <c r="G129" s="10">
        <v>-21.6666666666667</v>
      </c>
      <c r="H129" s="10">
        <v>-21.6666666666667</v>
      </c>
      <c r="I129" s="10">
        <v>-21.6666666666667</v>
      </c>
    </row>
  </sheetData>
  <mergeCells count="5">
    <mergeCell ref="A4:B4"/>
    <mergeCell ref="A30:B30"/>
    <mergeCell ref="A56:B56"/>
    <mergeCell ref="A82:B82"/>
    <mergeCell ref="A108:B10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9"/>
  <sheetViews>
    <sheetView topLeftCell="A96" zoomScaleNormal="100" workbookViewId="0">
      <selection activeCell="H117" sqref="H117"/>
    </sheetView>
  </sheetViews>
  <sheetFormatPr defaultColWidth="8.6640625" defaultRowHeight="14.25" x14ac:dyDescent="0.45"/>
  <cols>
    <col min="1" max="1" width="19.6640625" customWidth="1"/>
    <col min="2" max="2" width="12.3984375" customWidth="1"/>
  </cols>
  <sheetData>
    <row r="1" spans="1:6" ht="14.25" customHeight="1" x14ac:dyDescent="0.45">
      <c r="A1" s="9" t="s">
        <v>60</v>
      </c>
    </row>
    <row r="2" spans="1:6" ht="14.25" customHeight="1" x14ac:dyDescent="0.45">
      <c r="A2" t="s">
        <v>19</v>
      </c>
    </row>
    <row r="3" spans="1:6" ht="14.25" customHeight="1" x14ac:dyDescent="0.45"/>
    <row r="4" spans="1:6" ht="14.25" customHeight="1" x14ac:dyDescent="0.45">
      <c r="A4" s="68" t="s">
        <v>20</v>
      </c>
      <c r="B4" s="68"/>
    </row>
    <row r="5" spans="1:6" ht="14.25" customHeight="1" x14ac:dyDescent="0.45">
      <c r="A5" t="s">
        <v>21</v>
      </c>
      <c r="B5">
        <v>0.99639880711594897</v>
      </c>
    </row>
    <row r="6" spans="1:6" ht="14.25" customHeight="1" x14ac:dyDescent="0.45">
      <c r="A6" t="s">
        <v>22</v>
      </c>
      <c r="B6">
        <v>0.99281058282208601</v>
      </c>
    </row>
    <row r="7" spans="1:6" ht="14.25" customHeight="1" x14ac:dyDescent="0.45">
      <c r="A7" t="s">
        <v>23</v>
      </c>
      <c r="B7">
        <v>0.94248466257668795</v>
      </c>
    </row>
    <row r="8" spans="1:6" ht="14.25" customHeight="1" x14ac:dyDescent="0.45">
      <c r="A8" t="s">
        <v>24</v>
      </c>
      <c r="B8">
        <v>2.0412414523193201</v>
      </c>
    </row>
    <row r="9" spans="1:6" ht="14.25" customHeight="1" x14ac:dyDescent="0.45">
      <c r="A9" s="10" t="s">
        <v>25</v>
      </c>
      <c r="B9" s="10">
        <v>9</v>
      </c>
    </row>
    <row r="11" spans="1:6" ht="14.25" customHeight="1" x14ac:dyDescent="0.45">
      <c r="A11" t="s">
        <v>26</v>
      </c>
    </row>
    <row r="12" spans="1:6" ht="14.25" customHeight="1" x14ac:dyDescent="0.45">
      <c r="A12" s="3"/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</row>
    <row r="13" spans="1:6" ht="14.25" customHeight="1" x14ac:dyDescent="0.45">
      <c r="A13" t="s">
        <v>32</v>
      </c>
      <c r="B13">
        <v>7</v>
      </c>
      <c r="C13">
        <v>575.38888888888903</v>
      </c>
      <c r="D13">
        <v>82.198412698412696</v>
      </c>
      <c r="E13">
        <v>19.727619047619001</v>
      </c>
      <c r="F13">
        <v>0.17170211415460501</v>
      </c>
    </row>
    <row r="14" spans="1:6" ht="14.25" customHeight="1" x14ac:dyDescent="0.45">
      <c r="A14" t="s">
        <v>33</v>
      </c>
      <c r="B14">
        <v>1</v>
      </c>
      <c r="C14">
        <v>4.1666666666666696</v>
      </c>
      <c r="D14">
        <v>4.1666666666666696</v>
      </c>
    </row>
    <row r="15" spans="1:6" ht="14.25" customHeight="1" x14ac:dyDescent="0.45">
      <c r="A15" s="10" t="s">
        <v>34</v>
      </c>
      <c r="B15" s="10">
        <v>8</v>
      </c>
      <c r="C15" s="10">
        <v>579.555555555556</v>
      </c>
      <c r="D15" s="10"/>
      <c r="E15" s="10"/>
      <c r="F15" s="10"/>
    </row>
    <row r="16" spans="1:6" ht="14.25" customHeight="1" x14ac:dyDescent="0.45"/>
    <row r="17" spans="1:9" ht="14.25" customHeight="1" x14ac:dyDescent="0.45">
      <c r="A17" s="3"/>
      <c r="B17" s="3" t="s">
        <v>35</v>
      </c>
      <c r="C17" s="3" t="s">
        <v>24</v>
      </c>
      <c r="D17" s="3" t="s">
        <v>36</v>
      </c>
      <c r="E17" s="3" t="s">
        <v>37</v>
      </c>
      <c r="F17" s="3" t="s">
        <v>38</v>
      </c>
      <c r="G17" s="3" t="s">
        <v>39</v>
      </c>
      <c r="H17" s="3" t="s">
        <v>49</v>
      </c>
      <c r="I17" s="3" t="s">
        <v>50</v>
      </c>
    </row>
    <row r="18" spans="1:9" ht="14.25" customHeight="1" x14ac:dyDescent="0.45">
      <c r="A18" t="s">
        <v>40</v>
      </c>
      <c r="B18" s="11">
        <v>39.8333333333333</v>
      </c>
      <c r="C18">
        <v>1.86338998124983</v>
      </c>
      <c r="D18">
        <v>21.376809864898</v>
      </c>
      <c r="E18">
        <v>2.9759164516384801E-2</v>
      </c>
      <c r="F18">
        <v>16.156718728236299</v>
      </c>
      <c r="G18">
        <v>63.509947938430301</v>
      </c>
      <c r="H18">
        <v>16.156718728236299</v>
      </c>
      <c r="I18">
        <v>63.509947938430301</v>
      </c>
    </row>
    <row r="19" spans="1:9" ht="14.25" customHeight="1" x14ac:dyDescent="0.45">
      <c r="A19" t="s">
        <v>41</v>
      </c>
      <c r="B19" s="11">
        <v>-9.3333333333333393</v>
      </c>
      <c r="C19">
        <v>1.6666666666666701</v>
      </c>
      <c r="D19">
        <v>-5.6</v>
      </c>
      <c r="E19">
        <v>0.112496351726642</v>
      </c>
      <c r="F19">
        <v>-30.510341226957902</v>
      </c>
      <c r="G19">
        <v>11.8436745602912</v>
      </c>
      <c r="H19">
        <v>-30.510341226957902</v>
      </c>
      <c r="I19">
        <v>11.8436745602912</v>
      </c>
    </row>
    <row r="20" spans="1:9" ht="14.25" customHeight="1" x14ac:dyDescent="0.45">
      <c r="A20" t="s">
        <v>42</v>
      </c>
      <c r="B20" s="11">
        <v>-12</v>
      </c>
      <c r="C20">
        <v>1.6666666666666701</v>
      </c>
      <c r="D20">
        <v>-7.2</v>
      </c>
      <c r="E20">
        <v>8.7857363366205102E-2</v>
      </c>
      <c r="F20">
        <v>-33.177007893624499</v>
      </c>
      <c r="G20">
        <v>9.1770078936245199</v>
      </c>
      <c r="H20">
        <v>-33.177007893624499</v>
      </c>
      <c r="I20">
        <v>9.1770078936245199</v>
      </c>
    </row>
    <row r="21" spans="1:9" ht="14.25" customHeight="1" x14ac:dyDescent="0.45">
      <c r="A21" t="s">
        <v>43</v>
      </c>
      <c r="B21" s="11">
        <v>-9.3333333333333304</v>
      </c>
      <c r="C21">
        <v>1.6666666666666701</v>
      </c>
      <c r="D21">
        <v>-5.6</v>
      </c>
      <c r="E21">
        <v>0.112496351726643</v>
      </c>
      <c r="F21">
        <v>-30.510341226957902</v>
      </c>
      <c r="G21">
        <v>11.8436745602912</v>
      </c>
      <c r="H21">
        <v>-30.510341226957902</v>
      </c>
      <c r="I21">
        <v>11.8436745602912</v>
      </c>
    </row>
    <row r="22" spans="1:9" ht="14.25" customHeight="1" x14ac:dyDescent="0.45">
      <c r="A22" t="s">
        <v>44</v>
      </c>
      <c r="B22" s="11">
        <v>-8</v>
      </c>
      <c r="C22">
        <v>1.6666666666666701</v>
      </c>
      <c r="D22">
        <v>-4.8</v>
      </c>
      <c r="E22">
        <v>0.130758765911341</v>
      </c>
      <c r="F22">
        <v>-29.177007893624499</v>
      </c>
      <c r="G22">
        <v>13.1770078936245</v>
      </c>
      <c r="H22">
        <v>-29.177007893624499</v>
      </c>
      <c r="I22">
        <v>13.1770078936245</v>
      </c>
    </row>
    <row r="23" spans="1:9" ht="14.25" customHeight="1" x14ac:dyDescent="0.45">
      <c r="A23" t="s">
        <v>45</v>
      </c>
      <c r="B23" s="11">
        <v>9.1666666666666696</v>
      </c>
      <c r="C23">
        <v>1.4433756729740701</v>
      </c>
      <c r="D23">
        <v>6.3508529610858799</v>
      </c>
      <c r="E23">
        <v>9.9425284051412099E-2</v>
      </c>
      <c r="F23">
        <v>-9.1731601453557499</v>
      </c>
      <c r="G23">
        <v>27.506493478689102</v>
      </c>
      <c r="H23">
        <v>-9.1731601453557499</v>
      </c>
      <c r="I23">
        <v>27.506493478689102</v>
      </c>
    </row>
    <row r="24" spans="1:9" ht="14.25" customHeight="1" x14ac:dyDescent="0.45">
      <c r="A24" t="s">
        <v>46</v>
      </c>
      <c r="B24" s="11">
        <v>0.33333333333333598</v>
      </c>
      <c r="C24">
        <v>1.6666666666666701</v>
      </c>
      <c r="D24">
        <v>0.20000000000000101</v>
      </c>
      <c r="E24">
        <v>0.87433408362199705</v>
      </c>
      <c r="F24">
        <v>-20.843674560291198</v>
      </c>
      <c r="G24">
        <v>21.510341226957902</v>
      </c>
      <c r="H24">
        <v>-20.843674560291198</v>
      </c>
      <c r="I24">
        <v>21.510341226957902</v>
      </c>
    </row>
    <row r="25" spans="1:9" ht="14.25" customHeight="1" x14ac:dyDescent="0.45">
      <c r="A25" s="10" t="s">
        <v>47</v>
      </c>
      <c r="B25" s="12">
        <v>-2.6666666666666701</v>
      </c>
      <c r="C25" s="10">
        <v>1.6666666666666701</v>
      </c>
      <c r="D25" s="10">
        <v>-1.6</v>
      </c>
      <c r="E25" s="10">
        <v>0.35561536897870599</v>
      </c>
      <c r="F25" s="10">
        <v>-23.843674560291198</v>
      </c>
      <c r="G25" s="10">
        <v>18.510341226957902</v>
      </c>
      <c r="H25" s="10">
        <v>-23.843674560291198</v>
      </c>
      <c r="I25" s="10">
        <v>18.510341226957902</v>
      </c>
    </row>
    <row r="27" spans="1:9" ht="14.25" customHeight="1" x14ac:dyDescent="0.45">
      <c r="A27" s="9" t="s">
        <v>61</v>
      </c>
    </row>
    <row r="28" spans="1:9" ht="14.25" customHeight="1" x14ac:dyDescent="0.45">
      <c r="A28" t="s">
        <v>19</v>
      </c>
    </row>
    <row r="29" spans="1:9" ht="14.25" customHeight="1" x14ac:dyDescent="0.45"/>
    <row r="30" spans="1:9" ht="14.25" customHeight="1" x14ac:dyDescent="0.45">
      <c r="A30" s="68" t="s">
        <v>20</v>
      </c>
      <c r="B30" s="68"/>
    </row>
    <row r="31" spans="1:9" ht="14.25" customHeight="1" x14ac:dyDescent="0.45">
      <c r="A31" t="s">
        <v>21</v>
      </c>
      <c r="B31">
        <v>0.99873385022729599</v>
      </c>
    </row>
    <row r="32" spans="1:9" ht="14.25" customHeight="1" x14ac:dyDescent="0.45">
      <c r="A32" t="s">
        <v>22</v>
      </c>
      <c r="B32">
        <v>0.99746930358983998</v>
      </c>
    </row>
    <row r="33" spans="1:9" ht="14.25" customHeight="1" x14ac:dyDescent="0.45">
      <c r="A33" t="s">
        <v>23</v>
      </c>
      <c r="B33">
        <v>0.97975442871871798</v>
      </c>
    </row>
    <row r="34" spans="1:9" ht="14.25" customHeight="1" x14ac:dyDescent="0.45">
      <c r="A34" t="s">
        <v>24</v>
      </c>
      <c r="B34">
        <v>2.4494897427831699</v>
      </c>
    </row>
    <row r="35" spans="1:9" ht="14.25" customHeight="1" x14ac:dyDescent="0.45">
      <c r="A35" s="10" t="s">
        <v>25</v>
      </c>
      <c r="B35" s="10">
        <v>9</v>
      </c>
    </row>
    <row r="37" spans="1:9" ht="14.25" customHeight="1" x14ac:dyDescent="0.45">
      <c r="A37" t="s">
        <v>26</v>
      </c>
    </row>
    <row r="38" spans="1:9" ht="14.25" customHeight="1" x14ac:dyDescent="0.45">
      <c r="A38" s="3"/>
      <c r="B38" s="3" t="s">
        <v>27</v>
      </c>
      <c r="C38" s="3" t="s">
        <v>28</v>
      </c>
      <c r="D38" s="3" t="s">
        <v>29</v>
      </c>
      <c r="E38" s="3" t="s">
        <v>30</v>
      </c>
      <c r="F38" s="3" t="s">
        <v>31</v>
      </c>
    </row>
    <row r="39" spans="1:9" ht="14.25" customHeight="1" x14ac:dyDescent="0.45">
      <c r="A39" t="s">
        <v>32</v>
      </c>
      <c r="B39">
        <v>7</v>
      </c>
      <c r="C39">
        <v>2364.8888888888901</v>
      </c>
      <c r="D39">
        <v>337.84126984126999</v>
      </c>
      <c r="E39">
        <v>56.306878306878602</v>
      </c>
      <c r="F39">
        <v>0.10226671693292901</v>
      </c>
    </row>
    <row r="40" spans="1:9" ht="14.25" customHeight="1" x14ac:dyDescent="0.45">
      <c r="A40" t="s">
        <v>33</v>
      </c>
      <c r="B40">
        <v>1</v>
      </c>
      <c r="C40">
        <v>5.9999999999999698</v>
      </c>
      <c r="D40">
        <v>5.9999999999999698</v>
      </c>
    </row>
    <row r="41" spans="1:9" ht="14.25" customHeight="1" x14ac:dyDescent="0.45">
      <c r="A41" s="10" t="s">
        <v>34</v>
      </c>
      <c r="B41" s="10">
        <v>8</v>
      </c>
      <c r="C41" s="10">
        <v>2370.8888888888901</v>
      </c>
      <c r="D41" s="10"/>
      <c r="E41" s="10"/>
      <c r="F41" s="10"/>
    </row>
    <row r="42" spans="1:9" ht="14.25" customHeight="1" x14ac:dyDescent="0.45"/>
    <row r="43" spans="1:9" ht="14.25" customHeight="1" x14ac:dyDescent="0.45">
      <c r="A43" s="3"/>
      <c r="B43" s="3" t="s">
        <v>35</v>
      </c>
      <c r="C43" s="3" t="s">
        <v>24</v>
      </c>
      <c r="D43" s="3" t="s">
        <v>36</v>
      </c>
      <c r="E43" s="3" t="s">
        <v>37</v>
      </c>
      <c r="F43" s="3" t="s">
        <v>38</v>
      </c>
      <c r="G43" s="3" t="s">
        <v>39</v>
      </c>
      <c r="H43" s="3" t="s">
        <v>49</v>
      </c>
      <c r="I43" s="3" t="s">
        <v>50</v>
      </c>
    </row>
    <row r="44" spans="1:9" ht="14.25" customHeight="1" x14ac:dyDescent="0.45">
      <c r="A44" t="s">
        <v>40</v>
      </c>
      <c r="B44" s="11">
        <v>78</v>
      </c>
      <c r="C44">
        <v>2.23606797749978</v>
      </c>
      <c r="D44">
        <v>34.882660448996802</v>
      </c>
      <c r="E44">
        <v>1.82453245496698E-2</v>
      </c>
      <c r="F44">
        <v>49.588062473883703</v>
      </c>
      <c r="G44">
        <v>106.41193752611601</v>
      </c>
      <c r="H44">
        <v>49.588062473883703</v>
      </c>
      <c r="I44">
        <v>106.41193752611601</v>
      </c>
    </row>
    <row r="45" spans="1:9" ht="14.25" customHeight="1" x14ac:dyDescent="0.45">
      <c r="A45" t="s">
        <v>41</v>
      </c>
      <c r="B45" s="11">
        <v>-6.3333333333333401</v>
      </c>
      <c r="C45">
        <v>2</v>
      </c>
      <c r="D45">
        <v>-3.1666666666666798</v>
      </c>
      <c r="E45">
        <v>0.19472853748580901</v>
      </c>
      <c r="F45">
        <v>-31.745742805682699</v>
      </c>
      <c r="G45">
        <v>19.079076139015999</v>
      </c>
      <c r="H45">
        <v>-31.745742805682699</v>
      </c>
      <c r="I45">
        <v>19.079076139015999</v>
      </c>
    </row>
    <row r="46" spans="1:9" ht="14.25" customHeight="1" x14ac:dyDescent="0.45">
      <c r="A46" t="s">
        <v>42</v>
      </c>
      <c r="B46" s="11">
        <v>-21</v>
      </c>
      <c r="C46">
        <v>1.99999999999999</v>
      </c>
      <c r="D46">
        <v>-10.5</v>
      </c>
      <c r="E46">
        <v>6.04481336778388E-2</v>
      </c>
      <c r="F46">
        <v>-46.412409472349403</v>
      </c>
      <c r="G46">
        <v>4.4124094723493403</v>
      </c>
      <c r="H46">
        <v>-46.412409472349403</v>
      </c>
      <c r="I46">
        <v>4.4124094723493403</v>
      </c>
    </row>
    <row r="47" spans="1:9" ht="14.25" customHeight="1" x14ac:dyDescent="0.45">
      <c r="A47" t="s">
        <v>43</v>
      </c>
      <c r="B47" s="11">
        <v>-14.6666666666667</v>
      </c>
      <c r="C47">
        <v>2</v>
      </c>
      <c r="D47">
        <v>-7.3333333333333499</v>
      </c>
      <c r="E47">
        <v>8.6279622426947894E-2</v>
      </c>
      <c r="F47">
        <v>-40.079076139016003</v>
      </c>
      <c r="G47">
        <v>10.745742805682699</v>
      </c>
      <c r="H47">
        <v>-40.079076139016003</v>
      </c>
      <c r="I47">
        <v>10.745742805682699</v>
      </c>
    </row>
    <row r="48" spans="1:9" ht="14.25" customHeight="1" x14ac:dyDescent="0.45">
      <c r="A48" t="s">
        <v>44</v>
      </c>
      <c r="B48" s="11">
        <v>-24.6666666666667</v>
      </c>
      <c r="C48">
        <v>1.99999999999999</v>
      </c>
      <c r="D48">
        <v>-12.3333333333334</v>
      </c>
      <c r="E48">
        <v>5.1505149187806999E-2</v>
      </c>
      <c r="F48">
        <v>-50.079076139016003</v>
      </c>
      <c r="G48">
        <v>0.74574280568267803</v>
      </c>
      <c r="H48">
        <v>-50.079076139016003</v>
      </c>
      <c r="I48">
        <v>0.74574280568267803</v>
      </c>
    </row>
    <row r="49" spans="1:9" ht="14.25" customHeight="1" x14ac:dyDescent="0.45">
      <c r="A49" t="s">
        <v>45</v>
      </c>
      <c r="B49" s="11">
        <v>-4.3333333333333304</v>
      </c>
      <c r="C49">
        <v>1.7320508075688701</v>
      </c>
      <c r="D49">
        <v>-2.5018511664883798</v>
      </c>
      <c r="E49">
        <v>0.24207543664735301</v>
      </c>
      <c r="F49">
        <v>-26.3411255077602</v>
      </c>
      <c r="G49">
        <v>17.6744588410935</v>
      </c>
      <c r="H49">
        <v>-26.3411255077602</v>
      </c>
      <c r="I49">
        <v>17.6744588410935</v>
      </c>
    </row>
    <row r="50" spans="1:9" ht="14.25" customHeight="1" x14ac:dyDescent="0.45">
      <c r="A50" t="s">
        <v>46</v>
      </c>
      <c r="B50" s="11">
        <v>-17.3333333333333</v>
      </c>
      <c r="C50">
        <v>1.99999999999999</v>
      </c>
      <c r="D50">
        <v>-8.6666666666666892</v>
      </c>
      <c r="E50">
        <v>7.3132718390866602E-2</v>
      </c>
      <c r="F50">
        <v>-42.745742805682703</v>
      </c>
      <c r="G50">
        <v>8.07907613901601</v>
      </c>
      <c r="H50">
        <v>-42.745742805682703</v>
      </c>
      <c r="I50">
        <v>8.07907613901601</v>
      </c>
    </row>
    <row r="51" spans="1:9" ht="14.25" customHeight="1" x14ac:dyDescent="0.45">
      <c r="A51" s="10" t="s">
        <v>47</v>
      </c>
      <c r="B51" s="12">
        <v>-20</v>
      </c>
      <c r="C51" s="10">
        <v>1.99999999999999</v>
      </c>
      <c r="D51" s="10">
        <v>-10</v>
      </c>
      <c r="E51" s="10">
        <v>6.3451034861106995E-2</v>
      </c>
      <c r="F51" s="10">
        <v>-45.412409472349303</v>
      </c>
      <c r="G51" s="10">
        <v>5.4124094723493501</v>
      </c>
      <c r="H51" s="10">
        <v>-45.412409472349303</v>
      </c>
      <c r="I51" s="10">
        <v>5.4124094723493501</v>
      </c>
    </row>
    <row r="53" spans="1:9" ht="14.25" customHeight="1" x14ac:dyDescent="0.45">
      <c r="A53" s="9" t="s">
        <v>62</v>
      </c>
    </row>
    <row r="54" spans="1:9" ht="14.25" customHeight="1" x14ac:dyDescent="0.45">
      <c r="A54" t="s">
        <v>19</v>
      </c>
    </row>
    <row r="55" spans="1:9" ht="14.25" customHeight="1" x14ac:dyDescent="0.45"/>
    <row r="56" spans="1:9" ht="14.25" customHeight="1" x14ac:dyDescent="0.45">
      <c r="A56" s="68" t="s">
        <v>20</v>
      </c>
      <c r="B56" s="68"/>
    </row>
    <row r="57" spans="1:9" ht="14.25" customHeight="1" x14ac:dyDescent="0.45">
      <c r="A57" t="s">
        <v>21</v>
      </c>
      <c r="B57">
        <v>0.99957139793730898</v>
      </c>
    </row>
    <row r="58" spans="1:9" ht="14.25" customHeight="1" x14ac:dyDescent="0.45">
      <c r="A58" t="s">
        <v>22</v>
      </c>
      <c r="B58">
        <v>0.99914297957434695</v>
      </c>
    </row>
    <row r="59" spans="1:9" ht="14.25" customHeight="1" x14ac:dyDescent="0.45">
      <c r="A59" t="s">
        <v>23</v>
      </c>
      <c r="B59">
        <v>0.99314383659477301</v>
      </c>
    </row>
    <row r="60" spans="1:9" ht="14.25" customHeight="1" x14ac:dyDescent="0.45">
      <c r="A60" t="s">
        <v>24</v>
      </c>
      <c r="B60">
        <v>1.6329931618554301</v>
      </c>
    </row>
    <row r="61" spans="1:9" ht="14.25" customHeight="1" x14ac:dyDescent="0.45">
      <c r="A61" s="10" t="s">
        <v>25</v>
      </c>
      <c r="B61" s="10">
        <v>9</v>
      </c>
    </row>
    <row r="63" spans="1:9" ht="14.25" customHeight="1" x14ac:dyDescent="0.45">
      <c r="A63" t="s">
        <v>26</v>
      </c>
    </row>
    <row r="64" spans="1:9" ht="14.25" customHeight="1" x14ac:dyDescent="0.45">
      <c r="A64" s="3"/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</row>
    <row r="65" spans="1:9" ht="14.25" customHeight="1" x14ac:dyDescent="0.45">
      <c r="A65" t="s">
        <v>32</v>
      </c>
      <c r="B65">
        <v>7</v>
      </c>
      <c r="C65">
        <v>3108.8888888888901</v>
      </c>
      <c r="D65">
        <v>444.12698412698398</v>
      </c>
      <c r="E65">
        <v>166.54761904762299</v>
      </c>
      <c r="F65">
        <v>5.9595783050702601E-2</v>
      </c>
    </row>
    <row r="66" spans="1:9" ht="14.25" customHeight="1" x14ac:dyDescent="0.45">
      <c r="A66" t="s">
        <v>33</v>
      </c>
      <c r="B66">
        <v>1</v>
      </c>
      <c r="C66">
        <v>2.6666666666665999</v>
      </c>
      <c r="D66">
        <v>2.6666666666665999</v>
      </c>
    </row>
    <row r="67" spans="1:9" ht="14.25" customHeight="1" x14ac:dyDescent="0.45">
      <c r="A67" s="10" t="s">
        <v>34</v>
      </c>
      <c r="B67" s="10">
        <v>8</v>
      </c>
      <c r="C67" s="10">
        <v>3111.5555555555602</v>
      </c>
      <c r="D67" s="10"/>
      <c r="E67" s="10"/>
      <c r="F67" s="10"/>
    </row>
    <row r="68" spans="1:9" ht="14.25" customHeight="1" x14ac:dyDescent="0.45"/>
    <row r="69" spans="1:9" ht="14.25" customHeight="1" x14ac:dyDescent="0.45">
      <c r="A69" s="3"/>
      <c r="B69" s="3" t="s">
        <v>35</v>
      </c>
      <c r="C69" s="3" t="s">
        <v>24</v>
      </c>
      <c r="D69" s="3" t="s">
        <v>36</v>
      </c>
      <c r="E69" s="3" t="s">
        <v>37</v>
      </c>
      <c r="F69" s="3" t="s">
        <v>38</v>
      </c>
      <c r="G69" s="3" t="s">
        <v>39</v>
      </c>
      <c r="H69" s="3" t="s">
        <v>49</v>
      </c>
      <c r="I69" s="3" t="s">
        <v>50</v>
      </c>
    </row>
    <row r="70" spans="1:9" ht="14.25" customHeight="1" x14ac:dyDescent="0.45">
      <c r="A70" t="s">
        <v>40</v>
      </c>
      <c r="B70" s="11">
        <v>102.333333333333</v>
      </c>
      <c r="C70">
        <v>1.49071198499984</v>
      </c>
      <c r="D70">
        <v>68.6472869092444</v>
      </c>
      <c r="E70">
        <v>9.27312317364677E-3</v>
      </c>
      <c r="F70">
        <v>83.392041649255901</v>
      </c>
      <c r="G70">
        <v>121.274625017411</v>
      </c>
      <c r="H70">
        <v>83.392041649255901</v>
      </c>
      <c r="I70">
        <v>121.274625017411</v>
      </c>
    </row>
    <row r="71" spans="1:9" ht="14.25" customHeight="1" x14ac:dyDescent="0.45">
      <c r="A71" t="s">
        <v>41</v>
      </c>
      <c r="B71" s="11">
        <v>-29.6666666666667</v>
      </c>
      <c r="C71">
        <v>1.3333333333333199</v>
      </c>
      <c r="D71">
        <v>-22.250000000000298</v>
      </c>
      <c r="E71">
        <v>2.8592882924186599E-2</v>
      </c>
      <c r="F71">
        <v>-46.608272981566103</v>
      </c>
      <c r="G71">
        <v>-12.725060351767301</v>
      </c>
      <c r="H71">
        <v>-46.608272981566103</v>
      </c>
      <c r="I71">
        <v>-12.725060351767301</v>
      </c>
    </row>
    <row r="72" spans="1:9" ht="14.25" customHeight="1" x14ac:dyDescent="0.45">
      <c r="A72" t="s">
        <v>42</v>
      </c>
      <c r="B72" s="11">
        <v>-32</v>
      </c>
      <c r="C72">
        <v>1.3333333333333199</v>
      </c>
      <c r="D72">
        <v>-24.000000000000298</v>
      </c>
      <c r="E72">
        <v>2.6510489226541999E-2</v>
      </c>
      <c r="F72">
        <v>-48.941606314899403</v>
      </c>
      <c r="G72">
        <v>-15.058393685100601</v>
      </c>
      <c r="H72">
        <v>-48.941606314899403</v>
      </c>
      <c r="I72">
        <v>-15.058393685100601</v>
      </c>
    </row>
    <row r="73" spans="1:9" ht="14.25" customHeight="1" x14ac:dyDescent="0.45">
      <c r="A73" t="s">
        <v>43</v>
      </c>
      <c r="B73" s="11">
        <v>-4</v>
      </c>
      <c r="C73">
        <v>1.3333333333333199</v>
      </c>
      <c r="D73">
        <v>-3.00000000000004</v>
      </c>
      <c r="E73">
        <v>0.204832764699131</v>
      </c>
      <c r="F73">
        <v>-20.941606314899399</v>
      </c>
      <c r="G73">
        <v>12.941606314899399</v>
      </c>
      <c r="H73">
        <v>-20.941606314899399</v>
      </c>
      <c r="I73">
        <v>12.941606314899399</v>
      </c>
    </row>
    <row r="74" spans="1:9" ht="14.25" customHeight="1" x14ac:dyDescent="0.45">
      <c r="A74" t="s">
        <v>44</v>
      </c>
      <c r="B74" s="11">
        <v>-10.6666666666667</v>
      </c>
      <c r="C74">
        <v>1.3333333333333199</v>
      </c>
      <c r="D74">
        <v>-8.0000000000000995</v>
      </c>
      <c r="E74">
        <v>7.9166848321130107E-2</v>
      </c>
      <c r="F74">
        <v>-27.608272981566099</v>
      </c>
      <c r="G74">
        <v>6.2749396482327402</v>
      </c>
      <c r="H74">
        <v>-27.608272981566099</v>
      </c>
      <c r="I74">
        <v>6.2749396482327402</v>
      </c>
    </row>
    <row r="75" spans="1:9" ht="14.25" customHeight="1" x14ac:dyDescent="0.45">
      <c r="A75" t="s">
        <v>45</v>
      </c>
      <c r="B75" s="11">
        <v>-3.6666666666666701</v>
      </c>
      <c r="C75">
        <v>1.1547005383792399</v>
      </c>
      <c r="D75">
        <v>-3.1754264805429799</v>
      </c>
      <c r="E75">
        <v>0.194224113364002</v>
      </c>
      <c r="F75">
        <v>-18.338528116284401</v>
      </c>
      <c r="G75">
        <v>11.005194782951101</v>
      </c>
      <c r="H75">
        <v>-18.338528116284401</v>
      </c>
      <c r="I75">
        <v>11.005194782951101</v>
      </c>
    </row>
    <row r="76" spans="1:9" ht="14.25" customHeight="1" x14ac:dyDescent="0.45">
      <c r="A76" t="s">
        <v>46</v>
      </c>
      <c r="B76" s="11">
        <v>-22</v>
      </c>
      <c r="C76">
        <v>1.3333333333333199</v>
      </c>
      <c r="D76">
        <v>-16.500000000000199</v>
      </c>
      <c r="E76">
        <v>3.8535880654634501E-2</v>
      </c>
      <c r="F76">
        <v>-38.941606314899403</v>
      </c>
      <c r="G76">
        <v>-5.0583936851005902</v>
      </c>
      <c r="H76">
        <v>-38.941606314899403</v>
      </c>
      <c r="I76">
        <v>-5.0583936851005902</v>
      </c>
    </row>
    <row r="77" spans="1:9" ht="14.25" customHeight="1" x14ac:dyDescent="0.45">
      <c r="A77" s="10" t="s">
        <v>47</v>
      </c>
      <c r="B77" s="12">
        <v>-22.6666666666667</v>
      </c>
      <c r="C77" s="10">
        <v>1.3333333333333199</v>
      </c>
      <c r="D77" s="10">
        <v>-17.000000000000199</v>
      </c>
      <c r="E77" s="10">
        <v>3.7405118482552902E-2</v>
      </c>
      <c r="F77" s="10">
        <v>-39.608272981566103</v>
      </c>
      <c r="G77" s="10">
        <v>-5.72506035176725</v>
      </c>
      <c r="H77" s="10">
        <v>-39.608272981566103</v>
      </c>
      <c r="I77" s="10">
        <v>-5.72506035176725</v>
      </c>
    </row>
    <row r="79" spans="1:9" ht="14.25" customHeight="1" x14ac:dyDescent="0.45">
      <c r="A79" s="9" t="s">
        <v>63</v>
      </c>
    </row>
    <row r="80" spans="1:9" ht="14.25" customHeight="1" x14ac:dyDescent="0.45">
      <c r="A80" t="s">
        <v>19</v>
      </c>
    </row>
    <row r="81" spans="1:9" ht="14.25" customHeight="1" x14ac:dyDescent="0.45"/>
    <row r="82" spans="1:9" ht="14.25" customHeight="1" x14ac:dyDescent="0.45">
      <c r="A82" s="68" t="s">
        <v>20</v>
      </c>
      <c r="B82" s="68"/>
    </row>
    <row r="83" spans="1:9" ht="14.25" customHeight="1" x14ac:dyDescent="0.45">
      <c r="A83" t="s">
        <v>21</v>
      </c>
      <c r="B83">
        <v>0.99425370935984303</v>
      </c>
    </row>
    <row r="84" spans="1:9" ht="14.25" customHeight="1" x14ac:dyDescent="0.45">
      <c r="A84" t="s">
        <v>22</v>
      </c>
      <c r="B84">
        <v>0.98854043857580798</v>
      </c>
    </row>
    <row r="85" spans="1:9" ht="14.25" customHeight="1" x14ac:dyDescent="0.45">
      <c r="A85" t="s">
        <v>23</v>
      </c>
      <c r="B85">
        <v>0.90832350860646105</v>
      </c>
    </row>
    <row r="86" spans="1:9" ht="14.25" customHeight="1" x14ac:dyDescent="0.45">
      <c r="A86" t="s">
        <v>24</v>
      </c>
      <c r="B86">
        <v>7.3484692283495399</v>
      </c>
    </row>
    <row r="87" spans="1:9" ht="14.25" customHeight="1" x14ac:dyDescent="0.45">
      <c r="A87" s="10" t="s">
        <v>25</v>
      </c>
      <c r="B87" s="10">
        <v>9</v>
      </c>
    </row>
    <row r="89" spans="1:9" ht="14.25" customHeight="1" x14ac:dyDescent="0.45">
      <c r="A89" t="s">
        <v>26</v>
      </c>
    </row>
    <row r="90" spans="1:9" ht="14.25" customHeight="1" x14ac:dyDescent="0.45">
      <c r="A90" s="3"/>
      <c r="B90" s="3" t="s">
        <v>27</v>
      </c>
      <c r="C90" s="3" t="s">
        <v>28</v>
      </c>
      <c r="D90" s="3" t="s">
        <v>29</v>
      </c>
      <c r="E90" s="3" t="s">
        <v>30</v>
      </c>
      <c r="F90" s="3" t="s">
        <v>31</v>
      </c>
    </row>
    <row r="91" spans="1:9" ht="14.25" customHeight="1" x14ac:dyDescent="0.45">
      <c r="A91" t="s">
        <v>32</v>
      </c>
      <c r="B91">
        <v>7</v>
      </c>
      <c r="C91">
        <v>4658.2222222222199</v>
      </c>
      <c r="D91">
        <v>665.46031746031701</v>
      </c>
      <c r="E91">
        <v>12.323339212228101</v>
      </c>
      <c r="F91">
        <v>0.21600727567512901</v>
      </c>
    </row>
    <row r="92" spans="1:9" ht="14.25" customHeight="1" x14ac:dyDescent="0.45">
      <c r="A92" t="s">
        <v>33</v>
      </c>
      <c r="B92">
        <v>1</v>
      </c>
      <c r="C92">
        <v>54.000000000000099</v>
      </c>
      <c r="D92">
        <v>54.000000000000099</v>
      </c>
    </row>
    <row r="93" spans="1:9" ht="14.25" customHeight="1" x14ac:dyDescent="0.45">
      <c r="A93" s="10" t="s">
        <v>34</v>
      </c>
      <c r="B93" s="10">
        <v>8</v>
      </c>
      <c r="C93" s="10">
        <v>4712.2222222222199</v>
      </c>
      <c r="D93" s="10"/>
      <c r="E93" s="10"/>
      <c r="F93" s="10"/>
    </row>
    <row r="94" spans="1:9" ht="14.25" customHeight="1" x14ac:dyDescent="0.45"/>
    <row r="95" spans="1:9" ht="14.25" customHeight="1" x14ac:dyDescent="0.45">
      <c r="A95" s="3"/>
      <c r="B95" s="3" t="s">
        <v>35</v>
      </c>
      <c r="C95" s="3" t="s">
        <v>24</v>
      </c>
      <c r="D95" s="3" t="s">
        <v>36</v>
      </c>
      <c r="E95" s="3" t="s">
        <v>37</v>
      </c>
      <c r="F95" s="3" t="s">
        <v>38</v>
      </c>
      <c r="G95" s="3" t="s">
        <v>39</v>
      </c>
      <c r="H95" s="3" t="s">
        <v>49</v>
      </c>
      <c r="I95" s="3" t="s">
        <v>50</v>
      </c>
    </row>
    <row r="96" spans="1:9" ht="14.25" customHeight="1" x14ac:dyDescent="0.45">
      <c r="A96" t="s">
        <v>40</v>
      </c>
      <c r="B96" s="11">
        <v>106.666666666667</v>
      </c>
      <c r="C96">
        <v>6.7082039324993801</v>
      </c>
      <c r="D96">
        <v>15.9009278399985</v>
      </c>
      <c r="E96">
        <v>3.99839852864982E-2</v>
      </c>
      <c r="F96">
        <v>21.4308540883173</v>
      </c>
      <c r="G96">
        <v>191.902479245016</v>
      </c>
      <c r="H96">
        <v>21.4308540883173</v>
      </c>
      <c r="I96">
        <v>191.902479245016</v>
      </c>
    </row>
    <row r="97" spans="1:9" ht="14.25" customHeight="1" x14ac:dyDescent="0.45">
      <c r="A97" t="s">
        <v>41</v>
      </c>
      <c r="B97" s="11">
        <v>-5.0000000000000098</v>
      </c>
      <c r="C97">
        <v>6.0000000000000098</v>
      </c>
      <c r="D97">
        <v>-0.83333333333333404</v>
      </c>
      <c r="E97">
        <v>0.55771587675260903</v>
      </c>
      <c r="F97">
        <v>-81.237228417048399</v>
      </c>
      <c r="G97">
        <v>71.2372284170483</v>
      </c>
      <c r="H97">
        <v>-81.237228417048399</v>
      </c>
      <c r="I97">
        <v>71.2372284170483</v>
      </c>
    </row>
    <row r="98" spans="1:9" ht="14.25" customHeight="1" x14ac:dyDescent="0.45">
      <c r="A98" t="s">
        <v>42</v>
      </c>
      <c r="B98" s="11">
        <v>-16.6666666666667</v>
      </c>
      <c r="C98">
        <v>6.0000000000000098</v>
      </c>
      <c r="D98">
        <v>-2.7777777777777799</v>
      </c>
      <c r="E98">
        <v>0.219987515050277</v>
      </c>
      <c r="F98">
        <v>-92.903895083715</v>
      </c>
      <c r="G98">
        <v>59.5705617503817</v>
      </c>
      <c r="H98">
        <v>-92.903895083715</v>
      </c>
      <c r="I98">
        <v>59.5705617503817</v>
      </c>
    </row>
    <row r="99" spans="1:9" ht="14.25" customHeight="1" x14ac:dyDescent="0.45">
      <c r="A99" t="s">
        <v>43</v>
      </c>
      <c r="B99" s="11">
        <v>-0.66666666666668395</v>
      </c>
      <c r="C99">
        <v>6.0000000000000098</v>
      </c>
      <c r="D99">
        <v>-0.11111111111111401</v>
      </c>
      <c r="E99">
        <v>0.92955342504544403</v>
      </c>
      <c r="F99">
        <v>-76.903895083715</v>
      </c>
      <c r="G99">
        <v>75.5705617503816</v>
      </c>
      <c r="H99">
        <v>-76.903895083715</v>
      </c>
      <c r="I99">
        <v>75.5705617503816</v>
      </c>
    </row>
    <row r="100" spans="1:9" ht="14.25" customHeight="1" x14ac:dyDescent="0.45">
      <c r="A100" t="s">
        <v>44</v>
      </c>
      <c r="B100" s="11">
        <v>-42</v>
      </c>
      <c r="C100">
        <v>6.0000000000000098</v>
      </c>
      <c r="D100">
        <v>-6.9999999999999902</v>
      </c>
      <c r="E100">
        <v>9.0334470601733205E-2</v>
      </c>
      <c r="F100">
        <v>-118.237228417048</v>
      </c>
      <c r="G100">
        <v>34.2372284170483</v>
      </c>
      <c r="H100">
        <v>-118.237228417048</v>
      </c>
      <c r="I100">
        <v>34.2372284170483</v>
      </c>
    </row>
    <row r="101" spans="1:9" ht="14.25" customHeight="1" x14ac:dyDescent="0.45">
      <c r="A101" t="s">
        <v>45</v>
      </c>
      <c r="B101" s="11">
        <v>-16.6666666666667</v>
      </c>
      <c r="C101">
        <v>5.19615242270664</v>
      </c>
      <c r="D101">
        <v>-3.20750149549791</v>
      </c>
      <c r="E101">
        <v>0.192398525999179</v>
      </c>
      <c r="F101">
        <v>-82.690043189947403</v>
      </c>
      <c r="G101">
        <v>49.356709856614103</v>
      </c>
      <c r="H101">
        <v>-82.690043189947403</v>
      </c>
      <c r="I101">
        <v>49.356709856614103</v>
      </c>
    </row>
    <row r="102" spans="1:9" ht="14.25" customHeight="1" x14ac:dyDescent="0.45">
      <c r="A102" t="s">
        <v>46</v>
      </c>
      <c r="B102" s="11">
        <v>-11</v>
      </c>
      <c r="C102">
        <v>6.0000000000000098</v>
      </c>
      <c r="D102">
        <v>-1.8333333333333299</v>
      </c>
      <c r="E102">
        <v>0.31789399628850301</v>
      </c>
      <c r="F102">
        <v>-87.2372284170483</v>
      </c>
      <c r="G102">
        <v>65.2372284170483</v>
      </c>
      <c r="H102">
        <v>-87.2372284170483</v>
      </c>
      <c r="I102">
        <v>65.2372284170483</v>
      </c>
    </row>
    <row r="103" spans="1:9" ht="14.25" customHeight="1" x14ac:dyDescent="0.45">
      <c r="A103" s="10" t="s">
        <v>47</v>
      </c>
      <c r="B103" s="12">
        <v>-7.6666666666666803</v>
      </c>
      <c r="C103" s="10">
        <v>6.0000000000000098</v>
      </c>
      <c r="D103" s="10">
        <v>-1.2777777777777799</v>
      </c>
      <c r="E103" s="10">
        <v>0.42274491702028999</v>
      </c>
      <c r="F103" s="10">
        <v>-83.903895083715</v>
      </c>
      <c r="G103" s="10">
        <v>68.5705617503816</v>
      </c>
      <c r="H103" s="10">
        <v>-83.903895083715</v>
      </c>
      <c r="I103" s="10">
        <v>68.5705617503816</v>
      </c>
    </row>
    <row r="105" spans="1:9" ht="14.25" customHeight="1" x14ac:dyDescent="0.45">
      <c r="A105" s="9" t="s">
        <v>64</v>
      </c>
    </row>
    <row r="106" spans="1:9" ht="14.25" customHeight="1" x14ac:dyDescent="0.45">
      <c r="A106" t="s">
        <v>19</v>
      </c>
    </row>
    <row r="107" spans="1:9" ht="14.25" customHeight="1" x14ac:dyDescent="0.45"/>
    <row r="108" spans="1:9" ht="14.25" customHeight="1" x14ac:dyDescent="0.45">
      <c r="A108" s="68" t="s">
        <v>20</v>
      </c>
      <c r="B108" s="68"/>
    </row>
    <row r="109" spans="1:9" ht="14.25" customHeight="1" x14ac:dyDescent="0.45">
      <c r="A109" t="s">
        <v>21</v>
      </c>
      <c r="B109">
        <v>1</v>
      </c>
    </row>
    <row r="110" spans="1:9" ht="14.25" customHeight="1" x14ac:dyDescent="0.45">
      <c r="A110" t="s">
        <v>22</v>
      </c>
      <c r="B110">
        <v>1</v>
      </c>
    </row>
    <row r="111" spans="1:9" ht="14.25" customHeight="1" x14ac:dyDescent="0.45">
      <c r="A111" t="s">
        <v>23</v>
      </c>
      <c r="B111">
        <v>1</v>
      </c>
    </row>
    <row r="112" spans="1:9" ht="14.25" customHeight="1" x14ac:dyDescent="0.45">
      <c r="A112" t="s">
        <v>24</v>
      </c>
      <c r="B112">
        <v>1.06581410364015E-14</v>
      </c>
    </row>
    <row r="113" spans="1:9" ht="14.25" customHeight="1" x14ac:dyDescent="0.45">
      <c r="A113" s="10" t="s">
        <v>25</v>
      </c>
      <c r="B113" s="10">
        <v>9</v>
      </c>
    </row>
    <row r="115" spans="1:9" ht="14.25" customHeight="1" x14ac:dyDescent="0.45">
      <c r="A115" t="s">
        <v>26</v>
      </c>
    </row>
    <row r="116" spans="1:9" ht="14.25" customHeight="1" x14ac:dyDescent="0.45">
      <c r="A116" s="3"/>
      <c r="B116" s="3" t="s">
        <v>27</v>
      </c>
      <c r="C116" s="3" t="s">
        <v>28</v>
      </c>
      <c r="D116" s="3" t="s">
        <v>29</v>
      </c>
      <c r="E116" s="3" t="s">
        <v>30</v>
      </c>
      <c r="F116" s="3" t="s">
        <v>31</v>
      </c>
    </row>
    <row r="117" spans="1:9" ht="14.25" customHeight="1" x14ac:dyDescent="0.45">
      <c r="A117" t="s">
        <v>32</v>
      </c>
      <c r="B117">
        <v>7</v>
      </c>
      <c r="C117">
        <v>1318</v>
      </c>
      <c r="D117">
        <v>188.28571428571399</v>
      </c>
      <c r="E117">
        <v>1.6575034633936599E+30</v>
      </c>
      <c r="F117">
        <v>5.9807253505207203E-16</v>
      </c>
    </row>
    <row r="118" spans="1:9" ht="14.25" customHeight="1" x14ac:dyDescent="0.45">
      <c r="A118" t="s">
        <v>33</v>
      </c>
      <c r="B118">
        <v>1</v>
      </c>
      <c r="C118">
        <v>1.1359597035182599E-28</v>
      </c>
      <c r="D118">
        <v>1.1359597035182599E-28</v>
      </c>
    </row>
    <row r="119" spans="1:9" ht="14.25" customHeight="1" x14ac:dyDescent="0.45">
      <c r="A119" s="10" t="s">
        <v>34</v>
      </c>
      <c r="B119" s="10">
        <v>8</v>
      </c>
      <c r="C119" s="10">
        <v>1318</v>
      </c>
      <c r="D119" s="10"/>
      <c r="E119" s="10"/>
      <c r="F119" s="10"/>
    </row>
    <row r="120" spans="1:9" ht="14.25" customHeight="1" x14ac:dyDescent="0.45"/>
    <row r="121" spans="1:9" ht="14.25" customHeight="1" x14ac:dyDescent="0.45">
      <c r="A121" s="3"/>
      <c r="B121" s="3" t="s">
        <v>35</v>
      </c>
      <c r="C121" s="3" t="s">
        <v>24</v>
      </c>
      <c r="D121" s="3" t="s">
        <v>36</v>
      </c>
      <c r="E121" s="3" t="s">
        <v>37</v>
      </c>
      <c r="F121" s="3" t="s">
        <v>38</v>
      </c>
      <c r="G121" s="3" t="s">
        <v>39</v>
      </c>
      <c r="H121" s="3" t="s">
        <v>49</v>
      </c>
      <c r="I121" s="3" t="s">
        <v>50</v>
      </c>
    </row>
    <row r="122" spans="1:9" ht="14.25" customHeight="1" x14ac:dyDescent="0.45">
      <c r="A122" t="s">
        <v>40</v>
      </c>
      <c r="B122" s="11">
        <v>59.6666666666667</v>
      </c>
      <c r="C122">
        <v>9.7295071111809898E-15</v>
      </c>
      <c r="D122">
        <v>6132547721569444</v>
      </c>
      <c r="E122">
        <v>1.03809998922382E-16</v>
      </c>
      <c r="F122">
        <v>59.6666666666666</v>
      </c>
      <c r="G122">
        <v>59.666666666666799</v>
      </c>
      <c r="H122">
        <v>59.6666666666666</v>
      </c>
      <c r="I122">
        <v>59.666666666666799</v>
      </c>
    </row>
    <row r="123" spans="1:9" ht="14.25" customHeight="1" x14ac:dyDescent="0.45">
      <c r="A123" t="s">
        <v>41</v>
      </c>
      <c r="B123" s="11">
        <v>-19.3333333333334</v>
      </c>
      <c r="C123">
        <v>8.7023357152673198E-15</v>
      </c>
      <c r="D123">
        <v>-2221625775642633</v>
      </c>
      <c r="E123">
        <v>2.8655580941998699E-16</v>
      </c>
      <c r="F123">
        <v>-19.333333333333499</v>
      </c>
      <c r="G123">
        <v>-19.333333333333201</v>
      </c>
      <c r="H123">
        <v>-19.333333333333499</v>
      </c>
      <c r="I123">
        <v>-19.333333333333201</v>
      </c>
    </row>
    <row r="124" spans="1:9" ht="14.25" customHeight="1" x14ac:dyDescent="0.45">
      <c r="A124" t="s">
        <v>42</v>
      </c>
      <c r="B124" s="11">
        <v>-23.6666666666667</v>
      </c>
      <c r="C124">
        <v>8.7023357152673198E-15</v>
      </c>
      <c r="D124">
        <v>-2719576380528050</v>
      </c>
      <c r="E124">
        <v>2.3408784431491899E-16</v>
      </c>
      <c r="F124">
        <v>-23.666666666666799</v>
      </c>
      <c r="G124">
        <v>-23.6666666666666</v>
      </c>
      <c r="H124">
        <v>-23.666666666666799</v>
      </c>
      <c r="I124">
        <v>-23.6666666666666</v>
      </c>
    </row>
    <row r="125" spans="1:9" ht="14.25" customHeight="1" x14ac:dyDescent="0.45">
      <c r="A125" t="s">
        <v>43</v>
      </c>
      <c r="B125" s="11">
        <v>-11.3333333333333</v>
      </c>
      <c r="C125">
        <v>8.7023357152673198E-15</v>
      </c>
      <c r="D125">
        <v>-1302332351238785</v>
      </c>
      <c r="E125">
        <v>4.8883049842233105E-16</v>
      </c>
      <c r="F125">
        <v>-11.333333333333499</v>
      </c>
      <c r="G125">
        <v>-11.333333333333201</v>
      </c>
      <c r="H125">
        <v>-11.333333333333499</v>
      </c>
      <c r="I125">
        <v>-11.333333333333201</v>
      </c>
    </row>
    <row r="126" spans="1:9" ht="14.25" customHeight="1" x14ac:dyDescent="0.45">
      <c r="A126" t="s">
        <v>44</v>
      </c>
      <c r="B126" s="11">
        <v>-12.6666666666667</v>
      </c>
      <c r="C126">
        <v>8.7023357152673198E-15</v>
      </c>
      <c r="D126">
        <v>-1455547921972760</v>
      </c>
      <c r="E126">
        <v>4.3737465648313802E-16</v>
      </c>
      <c r="F126">
        <v>-12.666666666666799</v>
      </c>
      <c r="G126">
        <v>-12.6666666666666</v>
      </c>
      <c r="H126">
        <v>-12.666666666666799</v>
      </c>
      <c r="I126">
        <v>-12.6666666666666</v>
      </c>
    </row>
    <row r="127" spans="1:9" ht="14.25" customHeight="1" x14ac:dyDescent="0.45">
      <c r="A127" t="s">
        <v>45</v>
      </c>
      <c r="B127" s="11">
        <v>2.7890444774736801E-31</v>
      </c>
      <c r="C127">
        <v>7.5364438016821196E-15</v>
      </c>
      <c r="D127">
        <v>3.7007434154171901E-17</v>
      </c>
      <c r="E127">
        <v>1</v>
      </c>
      <c r="F127">
        <v>-9.5759597926847802E-14</v>
      </c>
      <c r="G127">
        <v>9.5759597926847802E-14</v>
      </c>
      <c r="H127">
        <v>-9.5759597926847802E-14</v>
      </c>
      <c r="I127">
        <v>9.5759597926847802E-14</v>
      </c>
    </row>
    <row r="128" spans="1:9" ht="14.25" customHeight="1" x14ac:dyDescent="0.45">
      <c r="A128" t="s">
        <v>46</v>
      </c>
      <c r="B128" s="11">
        <v>-1.3333333333333399</v>
      </c>
      <c r="C128">
        <v>8.7023357152673198E-15</v>
      </c>
      <c r="D128">
        <v>-153215570733975</v>
      </c>
      <c r="E128">
        <v>4.1550592365898098E-15</v>
      </c>
      <c r="F128">
        <v>-1.3333333333334501</v>
      </c>
      <c r="G128">
        <v>-1.33333333333323</v>
      </c>
      <c r="H128">
        <v>-1.3333333333334501</v>
      </c>
      <c r="I128">
        <v>-1.33333333333323</v>
      </c>
    </row>
    <row r="129" spans="1:9" ht="14.25" customHeight="1" x14ac:dyDescent="0.45">
      <c r="A129" s="10" t="s">
        <v>47</v>
      </c>
      <c r="B129" s="12">
        <v>-6.6666666666666696</v>
      </c>
      <c r="C129" s="10">
        <v>8.7023357152673198E-15</v>
      </c>
      <c r="D129" s="10">
        <v>-766077853669873</v>
      </c>
      <c r="E129" s="10">
        <v>8.3101184731796298E-16</v>
      </c>
      <c r="F129" s="10">
        <v>-6.6666666666667798</v>
      </c>
      <c r="G129" s="10">
        <v>-6.6666666666665604</v>
      </c>
      <c r="H129" s="10">
        <v>-6.6666666666667798</v>
      </c>
      <c r="I129" s="10">
        <v>-6.6666666666665604</v>
      </c>
    </row>
  </sheetData>
  <mergeCells count="5">
    <mergeCell ref="A4:B4"/>
    <mergeCell ref="A30:B30"/>
    <mergeCell ref="A56:B56"/>
    <mergeCell ref="A82:B82"/>
    <mergeCell ref="A108:B10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9"/>
  <sheetViews>
    <sheetView topLeftCell="A82" zoomScaleNormal="100" workbookViewId="0">
      <selection activeCell="K110" sqref="K110"/>
    </sheetView>
  </sheetViews>
  <sheetFormatPr defaultColWidth="8.6640625" defaultRowHeight="14.25" x14ac:dyDescent="0.45"/>
  <sheetData>
    <row r="1" spans="1:6" ht="14.25" customHeight="1" x14ac:dyDescent="0.45">
      <c r="A1" s="9" t="s">
        <v>65</v>
      </c>
    </row>
    <row r="2" spans="1:6" ht="14.25" customHeight="1" x14ac:dyDescent="0.45">
      <c r="A2" t="s">
        <v>19</v>
      </c>
    </row>
    <row r="3" spans="1:6" ht="14.25" customHeight="1" x14ac:dyDescent="0.45"/>
    <row r="4" spans="1:6" ht="14.25" customHeight="1" x14ac:dyDescent="0.45">
      <c r="A4" s="68" t="s">
        <v>20</v>
      </c>
      <c r="B4" s="68"/>
    </row>
    <row r="5" spans="1:6" ht="14.25" customHeight="1" x14ac:dyDescent="0.45">
      <c r="A5" t="s">
        <v>21</v>
      </c>
      <c r="B5">
        <v>0.99983176783842798</v>
      </c>
    </row>
    <row r="6" spans="1:6" ht="14.25" customHeight="1" x14ac:dyDescent="0.45">
      <c r="A6" t="s">
        <v>22</v>
      </c>
      <c r="B6">
        <v>0.99966356397891698</v>
      </c>
    </row>
    <row r="7" spans="1:6" ht="14.25" customHeight="1" x14ac:dyDescent="0.45">
      <c r="A7" t="s">
        <v>23</v>
      </c>
      <c r="B7">
        <v>0.99730851183133296</v>
      </c>
    </row>
    <row r="8" spans="1:6" ht="14.25" customHeight="1" x14ac:dyDescent="0.45">
      <c r="A8" t="s">
        <v>24</v>
      </c>
      <c r="B8">
        <v>0.81649658092772104</v>
      </c>
    </row>
    <row r="9" spans="1:6" ht="14.25" customHeight="1" x14ac:dyDescent="0.45">
      <c r="A9" s="10" t="s">
        <v>25</v>
      </c>
      <c r="B9" s="10">
        <v>9</v>
      </c>
    </row>
    <row r="11" spans="1:6" ht="14.25" customHeight="1" x14ac:dyDescent="0.45">
      <c r="A11" t="s">
        <v>26</v>
      </c>
    </row>
    <row r="12" spans="1:6" ht="14.25" customHeight="1" x14ac:dyDescent="0.45">
      <c r="A12" s="3"/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</row>
    <row r="13" spans="1:6" ht="14.25" customHeight="1" x14ac:dyDescent="0.45">
      <c r="A13" t="s">
        <v>32</v>
      </c>
      <c r="B13">
        <v>7</v>
      </c>
      <c r="C13">
        <v>1980.8888888888901</v>
      </c>
      <c r="D13">
        <v>282.98412698412699</v>
      </c>
      <c r="E13">
        <v>424.476190476196</v>
      </c>
      <c r="F13">
        <v>3.7355932883043001E-2</v>
      </c>
    </row>
    <row r="14" spans="1:6" ht="14.25" customHeight="1" x14ac:dyDescent="0.45">
      <c r="A14" t="s">
        <v>33</v>
      </c>
      <c r="B14">
        <v>1</v>
      </c>
      <c r="C14">
        <v>0.66666666666665797</v>
      </c>
      <c r="D14">
        <v>0.66666666666665797</v>
      </c>
    </row>
    <row r="15" spans="1:6" ht="14.25" customHeight="1" x14ac:dyDescent="0.45">
      <c r="A15" s="10" t="s">
        <v>34</v>
      </c>
      <c r="B15" s="10">
        <v>8</v>
      </c>
      <c r="C15" s="10">
        <v>1981.55555555556</v>
      </c>
      <c r="D15" s="10"/>
      <c r="E15" s="10"/>
      <c r="F15" s="10"/>
    </row>
    <row r="16" spans="1:6" ht="14.25" customHeight="1" x14ac:dyDescent="0.45"/>
    <row r="17" spans="1:9" ht="14.25" customHeight="1" x14ac:dyDescent="0.45">
      <c r="A17" s="3"/>
      <c r="B17" s="3" t="s">
        <v>35</v>
      </c>
      <c r="C17" s="3" t="s">
        <v>24</v>
      </c>
      <c r="D17" s="3" t="s">
        <v>36</v>
      </c>
      <c r="E17" s="3" t="s">
        <v>37</v>
      </c>
      <c r="F17" s="3" t="s">
        <v>38</v>
      </c>
      <c r="G17" s="3" t="s">
        <v>39</v>
      </c>
      <c r="H17" s="3" t="s">
        <v>49</v>
      </c>
      <c r="I17" s="3" t="s">
        <v>50</v>
      </c>
    </row>
    <row r="18" spans="1:9" ht="14.25" customHeight="1" x14ac:dyDescent="0.45">
      <c r="A18" t="s">
        <v>40</v>
      </c>
      <c r="B18" s="11">
        <v>76</v>
      </c>
      <c r="C18">
        <v>0.74535599249992501</v>
      </c>
      <c r="D18">
        <v>101.964699773991</v>
      </c>
      <c r="E18">
        <v>6.2433309193901197E-3</v>
      </c>
      <c r="F18">
        <v>66.529354157961293</v>
      </c>
      <c r="G18">
        <v>85.470645842038806</v>
      </c>
      <c r="H18">
        <v>66.529354157961293</v>
      </c>
      <c r="I18">
        <v>85.470645842038806</v>
      </c>
    </row>
    <row r="19" spans="1:9" ht="14.25" customHeight="1" x14ac:dyDescent="0.45">
      <c r="A19" t="s">
        <v>41</v>
      </c>
      <c r="B19" s="11">
        <v>-23.3333333333333</v>
      </c>
      <c r="C19">
        <v>0.66666666666666297</v>
      </c>
      <c r="D19">
        <v>-35.000000000000199</v>
      </c>
      <c r="E19">
        <v>1.8184189351296801E-2</v>
      </c>
      <c r="F19">
        <v>-31.804136490783101</v>
      </c>
      <c r="G19">
        <v>-14.862530175883601</v>
      </c>
      <c r="H19">
        <v>-31.804136490783101</v>
      </c>
      <c r="I19">
        <v>-14.862530175883601</v>
      </c>
    </row>
    <row r="20" spans="1:9" ht="14.25" customHeight="1" x14ac:dyDescent="0.45">
      <c r="A20" t="s">
        <v>42</v>
      </c>
      <c r="B20" s="11">
        <v>-28.3333333333333</v>
      </c>
      <c r="C20">
        <v>0.66666666666666197</v>
      </c>
      <c r="D20">
        <v>-42.500000000000298</v>
      </c>
      <c r="E20">
        <v>1.4976525335539901E-2</v>
      </c>
      <c r="F20">
        <v>-36.804136490783101</v>
      </c>
      <c r="G20">
        <v>-19.862530175883599</v>
      </c>
      <c r="H20">
        <v>-36.804136490783101</v>
      </c>
      <c r="I20">
        <v>-19.862530175883599</v>
      </c>
    </row>
    <row r="21" spans="1:9" ht="14.25" customHeight="1" x14ac:dyDescent="0.45">
      <c r="A21" t="s">
        <v>43</v>
      </c>
      <c r="B21" s="11">
        <v>-4.3333333333333401</v>
      </c>
      <c r="C21">
        <v>0.66666666666666297</v>
      </c>
      <c r="D21">
        <v>-6.5000000000000497</v>
      </c>
      <c r="E21">
        <v>9.7179580695057097E-2</v>
      </c>
      <c r="F21">
        <v>-12.804136490783099</v>
      </c>
      <c r="G21">
        <v>4.1374698241164101</v>
      </c>
      <c r="H21">
        <v>-12.804136490783099</v>
      </c>
      <c r="I21">
        <v>4.1374698241164101</v>
      </c>
    </row>
    <row r="22" spans="1:9" ht="14.25" customHeight="1" x14ac:dyDescent="0.45">
      <c r="A22" t="s">
        <v>44</v>
      </c>
      <c r="B22" s="11">
        <v>-14.3333333333333</v>
      </c>
      <c r="C22">
        <v>0.66666666666666197</v>
      </c>
      <c r="D22">
        <v>-21.500000000000199</v>
      </c>
      <c r="E22">
        <v>2.9588897400745801E-2</v>
      </c>
      <c r="F22">
        <v>-22.804136490783101</v>
      </c>
      <c r="G22">
        <v>-5.8625301758835899</v>
      </c>
      <c r="H22">
        <v>-22.804136490783101</v>
      </c>
      <c r="I22">
        <v>-5.8625301758835899</v>
      </c>
    </row>
    <row r="23" spans="1:9" ht="14.25" customHeight="1" x14ac:dyDescent="0.45">
      <c r="A23" t="s">
        <v>45</v>
      </c>
      <c r="B23" s="11">
        <v>-3.6666666666666701</v>
      </c>
      <c r="C23">
        <v>0.57735026918962196</v>
      </c>
      <c r="D23">
        <v>-6.3508529610859199</v>
      </c>
      <c r="E23">
        <v>9.9425284051411503E-2</v>
      </c>
      <c r="F23">
        <v>-11.0025973914756</v>
      </c>
      <c r="G23">
        <v>3.6692640581422502</v>
      </c>
      <c r="H23">
        <v>-11.0025973914756</v>
      </c>
      <c r="I23">
        <v>3.6692640581422502</v>
      </c>
    </row>
    <row r="24" spans="1:9" ht="14.25" customHeight="1" x14ac:dyDescent="0.45">
      <c r="A24" t="s">
        <v>46</v>
      </c>
      <c r="B24" s="11">
        <v>-11</v>
      </c>
      <c r="C24">
        <v>0.66666666666666197</v>
      </c>
      <c r="D24">
        <v>-16.500000000000099</v>
      </c>
      <c r="E24">
        <v>3.8535880654634702E-2</v>
      </c>
      <c r="F24">
        <v>-19.470803157449801</v>
      </c>
      <c r="G24">
        <v>-2.5291968425502498</v>
      </c>
      <c r="H24">
        <v>-19.470803157449801</v>
      </c>
      <c r="I24">
        <v>-2.5291968425502498</v>
      </c>
    </row>
    <row r="25" spans="1:9" ht="14.25" customHeight="1" x14ac:dyDescent="0.45">
      <c r="A25" s="10" t="s">
        <v>47</v>
      </c>
      <c r="B25" s="12">
        <v>-11.6666666666667</v>
      </c>
      <c r="C25" s="10">
        <v>0.66666666666666197</v>
      </c>
      <c r="D25" s="10">
        <v>-17.500000000000099</v>
      </c>
      <c r="E25" s="10">
        <v>3.63387547020394E-2</v>
      </c>
      <c r="F25" s="10">
        <v>-20.137469824116401</v>
      </c>
      <c r="G25" s="10">
        <v>-3.1958635092169101</v>
      </c>
      <c r="H25" s="10">
        <v>-20.137469824116401</v>
      </c>
      <c r="I25" s="10">
        <v>-3.1958635092169101</v>
      </c>
    </row>
    <row r="27" spans="1:9" ht="14.25" customHeight="1" x14ac:dyDescent="0.45">
      <c r="A27" s="9" t="s">
        <v>66</v>
      </c>
    </row>
    <row r="28" spans="1:9" ht="14.25" customHeight="1" x14ac:dyDescent="0.45">
      <c r="A28" t="s">
        <v>19</v>
      </c>
    </row>
    <row r="29" spans="1:9" ht="14.25" customHeight="1" x14ac:dyDescent="0.45"/>
    <row r="30" spans="1:9" ht="14.25" customHeight="1" x14ac:dyDescent="0.45">
      <c r="A30" s="68" t="s">
        <v>20</v>
      </c>
      <c r="B30" s="68"/>
    </row>
    <row r="31" spans="1:9" ht="14.25" customHeight="1" x14ac:dyDescent="0.45">
      <c r="A31" t="s">
        <v>21</v>
      </c>
      <c r="B31">
        <v>0.99954131944685798</v>
      </c>
    </row>
    <row r="32" spans="1:9" ht="14.25" customHeight="1" x14ac:dyDescent="0.45">
      <c r="A32" t="s">
        <v>22</v>
      </c>
      <c r="B32">
        <v>0.99908284928156499</v>
      </c>
    </row>
    <row r="33" spans="1:9" ht="14.25" customHeight="1" x14ac:dyDescent="0.45">
      <c r="A33" t="s">
        <v>23</v>
      </c>
      <c r="B33">
        <v>0.99266279425252302</v>
      </c>
    </row>
    <row r="34" spans="1:9" ht="14.25" customHeight="1" x14ac:dyDescent="0.45">
      <c r="A34" t="s">
        <v>24</v>
      </c>
      <c r="B34">
        <v>0.81649658092772304</v>
      </c>
    </row>
    <row r="35" spans="1:9" ht="14.25" customHeight="1" x14ac:dyDescent="0.45">
      <c r="A35" s="10" t="s">
        <v>25</v>
      </c>
      <c r="B35" s="10">
        <v>9</v>
      </c>
    </row>
    <row r="37" spans="1:9" ht="14.25" customHeight="1" x14ac:dyDescent="0.45">
      <c r="A37" t="s">
        <v>26</v>
      </c>
    </row>
    <row r="38" spans="1:9" ht="14.25" customHeight="1" x14ac:dyDescent="0.45">
      <c r="A38" s="3"/>
      <c r="B38" s="3" t="s">
        <v>27</v>
      </c>
      <c r="C38" s="3" t="s">
        <v>28</v>
      </c>
      <c r="D38" s="3" t="s">
        <v>29</v>
      </c>
      <c r="E38" s="3" t="s">
        <v>30</v>
      </c>
      <c r="F38" s="3" t="s">
        <v>31</v>
      </c>
    </row>
    <row r="39" spans="1:9" ht="14.25" customHeight="1" x14ac:dyDescent="0.45">
      <c r="A39" t="s">
        <v>32</v>
      </c>
      <c r="B39">
        <v>7</v>
      </c>
      <c r="C39">
        <v>726.22222222222194</v>
      </c>
      <c r="D39">
        <v>103.746031746032</v>
      </c>
      <c r="E39">
        <v>155.61904761904901</v>
      </c>
      <c r="F39">
        <v>6.1647935721982502E-2</v>
      </c>
    </row>
    <row r="40" spans="1:9" ht="14.25" customHeight="1" x14ac:dyDescent="0.45">
      <c r="A40" t="s">
        <v>33</v>
      </c>
      <c r="B40">
        <v>1</v>
      </c>
      <c r="C40">
        <v>0.66666666666666097</v>
      </c>
      <c r="D40">
        <v>0.66666666666666097</v>
      </c>
    </row>
    <row r="41" spans="1:9" ht="14.25" customHeight="1" x14ac:dyDescent="0.45">
      <c r="A41" s="10" t="s">
        <v>34</v>
      </c>
      <c r="B41" s="10">
        <v>8</v>
      </c>
      <c r="C41" s="10">
        <v>726.88888888888903</v>
      </c>
      <c r="D41" s="10"/>
      <c r="E41" s="10"/>
      <c r="F41" s="10"/>
    </row>
    <row r="42" spans="1:9" ht="14.25" customHeight="1" x14ac:dyDescent="0.45"/>
    <row r="43" spans="1:9" ht="14.25" customHeight="1" x14ac:dyDescent="0.45">
      <c r="A43" s="3"/>
      <c r="B43" s="3" t="s">
        <v>35</v>
      </c>
      <c r="C43" s="3" t="s">
        <v>24</v>
      </c>
      <c r="D43" s="3" t="s">
        <v>36</v>
      </c>
      <c r="E43" s="3" t="s">
        <v>37</v>
      </c>
      <c r="F43" s="3" t="s">
        <v>38</v>
      </c>
      <c r="G43" s="3" t="s">
        <v>39</v>
      </c>
      <c r="H43" s="3" t="s">
        <v>49</v>
      </c>
      <c r="I43" s="3" t="s">
        <v>50</v>
      </c>
    </row>
    <row r="44" spans="1:9" ht="14.25" customHeight="1" x14ac:dyDescent="0.45">
      <c r="A44" t="s">
        <v>40</v>
      </c>
      <c r="B44" s="11">
        <v>67</v>
      </c>
      <c r="C44">
        <v>0.74535599249992701</v>
      </c>
      <c r="D44">
        <v>89.889932695491893</v>
      </c>
      <c r="E44">
        <v>7.0819222207250503E-3</v>
      </c>
      <c r="F44">
        <v>57.529354157961201</v>
      </c>
      <c r="G44">
        <v>76.470645842038806</v>
      </c>
      <c r="H44">
        <v>57.529354157961201</v>
      </c>
      <c r="I44">
        <v>76.470645842038806</v>
      </c>
    </row>
    <row r="45" spans="1:9" ht="14.25" customHeight="1" x14ac:dyDescent="0.45">
      <c r="A45" t="s">
        <v>41</v>
      </c>
      <c r="B45" s="11">
        <v>-8.3333333333333393</v>
      </c>
      <c r="C45">
        <v>0.66666666666666397</v>
      </c>
      <c r="D45">
        <v>-12.500000000000099</v>
      </c>
      <c r="E45">
        <v>5.0821347332231599E-2</v>
      </c>
      <c r="F45">
        <v>-16.804136490783101</v>
      </c>
      <c r="G45">
        <v>0.13746982411643299</v>
      </c>
      <c r="H45">
        <v>-16.804136490783101</v>
      </c>
      <c r="I45">
        <v>0.13746982411643299</v>
      </c>
    </row>
    <row r="46" spans="1:9" ht="14.25" customHeight="1" x14ac:dyDescent="0.45">
      <c r="A46" t="s">
        <v>42</v>
      </c>
      <c r="B46" s="11">
        <v>-12.3333333333333</v>
      </c>
      <c r="C46">
        <v>0.66666666666666397</v>
      </c>
      <c r="D46">
        <v>-18.500000000000099</v>
      </c>
      <c r="E46">
        <v>3.43784228768566E-2</v>
      </c>
      <c r="F46">
        <v>-20.804136490783101</v>
      </c>
      <c r="G46">
        <v>-3.8625301758835699</v>
      </c>
      <c r="H46">
        <v>-20.804136490783101</v>
      </c>
      <c r="I46">
        <v>-3.8625301758835699</v>
      </c>
    </row>
    <row r="47" spans="1:9" ht="14.25" customHeight="1" x14ac:dyDescent="0.45">
      <c r="A47" t="s">
        <v>43</v>
      </c>
      <c r="B47" s="11">
        <v>-5.3333333333333401</v>
      </c>
      <c r="C47">
        <v>0.66666666666666397</v>
      </c>
      <c r="D47">
        <v>-8.0000000000000409</v>
      </c>
      <c r="E47">
        <v>7.9166848321130703E-2</v>
      </c>
      <c r="F47">
        <v>-13.804136490783099</v>
      </c>
      <c r="G47">
        <v>3.1374698241164301</v>
      </c>
      <c r="H47">
        <v>-13.804136490783099</v>
      </c>
      <c r="I47">
        <v>3.1374698241164301</v>
      </c>
    </row>
    <row r="48" spans="1:9" ht="14.25" customHeight="1" x14ac:dyDescent="0.45">
      <c r="A48" t="s">
        <v>44</v>
      </c>
      <c r="B48" s="11">
        <v>-16.3333333333333</v>
      </c>
      <c r="C48">
        <v>0.66666666666666397</v>
      </c>
      <c r="D48">
        <v>-24.500000000000099</v>
      </c>
      <c r="E48">
        <v>2.59700651013757E-2</v>
      </c>
      <c r="F48">
        <v>-24.804136490783101</v>
      </c>
      <c r="G48">
        <v>-7.8625301758835704</v>
      </c>
      <c r="H48">
        <v>-24.804136490783101</v>
      </c>
      <c r="I48">
        <v>-7.8625301758835704</v>
      </c>
    </row>
    <row r="49" spans="1:9" ht="14.25" customHeight="1" x14ac:dyDescent="0.45">
      <c r="A49" t="s">
        <v>45</v>
      </c>
      <c r="B49" s="11">
        <v>-1.6666666666666701</v>
      </c>
      <c r="C49">
        <v>0.57735026918962296</v>
      </c>
      <c r="D49">
        <v>-2.8867513459481402</v>
      </c>
      <c r="E49">
        <v>0.21229561500965599</v>
      </c>
      <c r="F49">
        <v>-9.0025973914756001</v>
      </c>
      <c r="G49">
        <v>5.6692640581422697</v>
      </c>
      <c r="H49">
        <v>-9.0025973914756001</v>
      </c>
      <c r="I49">
        <v>5.6692640581422697</v>
      </c>
    </row>
    <row r="50" spans="1:9" ht="14.25" customHeight="1" x14ac:dyDescent="0.45">
      <c r="A50" t="s">
        <v>46</v>
      </c>
      <c r="B50" s="11">
        <v>-3</v>
      </c>
      <c r="C50">
        <v>0.66666666666666397</v>
      </c>
      <c r="D50">
        <v>-4.5000000000000204</v>
      </c>
      <c r="E50">
        <v>0.13920897454612699</v>
      </c>
      <c r="F50">
        <v>-11.470803157449801</v>
      </c>
      <c r="G50">
        <v>5.4708031574497697</v>
      </c>
      <c r="H50">
        <v>-11.470803157449801</v>
      </c>
      <c r="I50">
        <v>5.4708031574497697</v>
      </c>
    </row>
    <row r="51" spans="1:9" ht="14.25" customHeight="1" x14ac:dyDescent="0.45">
      <c r="A51" s="10" t="s">
        <v>47</v>
      </c>
      <c r="B51" s="12">
        <v>-6.6666666666666696</v>
      </c>
      <c r="C51" s="10">
        <v>0.66666666666666397</v>
      </c>
      <c r="D51" s="10">
        <v>-10</v>
      </c>
      <c r="E51" s="10">
        <v>6.3451034861106897E-2</v>
      </c>
      <c r="F51" s="10">
        <v>-15.137469824116399</v>
      </c>
      <c r="G51" s="10">
        <v>1.8041364907830999</v>
      </c>
      <c r="H51" s="10">
        <v>-15.137469824116399</v>
      </c>
      <c r="I51" s="10">
        <v>1.8041364907830999</v>
      </c>
    </row>
    <row r="53" spans="1:9" ht="14.25" customHeight="1" x14ac:dyDescent="0.45">
      <c r="A53" s="9" t="s">
        <v>67</v>
      </c>
    </row>
    <row r="54" spans="1:9" ht="14.25" customHeight="1" x14ac:dyDescent="0.45">
      <c r="A54" t="s">
        <v>19</v>
      </c>
    </row>
    <row r="55" spans="1:9" ht="14.25" customHeight="1" x14ac:dyDescent="0.45"/>
    <row r="56" spans="1:9" ht="14.25" customHeight="1" x14ac:dyDescent="0.45">
      <c r="A56" s="68" t="s">
        <v>20</v>
      </c>
      <c r="B56" s="68"/>
    </row>
    <row r="57" spans="1:9" ht="14.25" customHeight="1" x14ac:dyDescent="0.45">
      <c r="A57" t="s">
        <v>21</v>
      </c>
      <c r="B57">
        <v>0.99854262735287203</v>
      </c>
    </row>
    <row r="58" spans="1:9" ht="14.25" customHeight="1" x14ac:dyDescent="0.45">
      <c r="A58" t="s">
        <v>22</v>
      </c>
      <c r="B58">
        <v>0.99708737864077701</v>
      </c>
    </row>
    <row r="59" spans="1:9" ht="14.25" customHeight="1" x14ac:dyDescent="0.45">
      <c r="A59" t="s">
        <v>23</v>
      </c>
      <c r="B59">
        <v>0.97669902912621398</v>
      </c>
    </row>
    <row r="60" spans="1:9" ht="14.25" customHeight="1" x14ac:dyDescent="0.45">
      <c r="A60" t="s">
        <v>24</v>
      </c>
      <c r="B60">
        <v>1.6329931618554501</v>
      </c>
    </row>
    <row r="61" spans="1:9" ht="14.25" customHeight="1" x14ac:dyDescent="0.45">
      <c r="A61" s="10" t="s">
        <v>25</v>
      </c>
      <c r="B61" s="10">
        <v>9</v>
      </c>
    </row>
    <row r="63" spans="1:9" ht="14.25" customHeight="1" x14ac:dyDescent="0.45">
      <c r="A63" t="s">
        <v>26</v>
      </c>
    </row>
    <row r="64" spans="1:9" ht="14.25" customHeight="1" x14ac:dyDescent="0.45">
      <c r="A64" s="3"/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</row>
    <row r="65" spans="1:9" ht="14.25" customHeight="1" x14ac:dyDescent="0.45">
      <c r="A65" t="s">
        <v>32</v>
      </c>
      <c r="B65">
        <v>7</v>
      </c>
      <c r="C65">
        <v>912.88888888888903</v>
      </c>
      <c r="D65">
        <v>130.41269841269801</v>
      </c>
      <c r="E65">
        <v>48.904761904761997</v>
      </c>
      <c r="F65">
        <v>0.109677642454129</v>
      </c>
    </row>
    <row r="66" spans="1:9" ht="14.25" customHeight="1" x14ac:dyDescent="0.45">
      <c r="A66" t="s">
        <v>33</v>
      </c>
      <c r="B66">
        <v>1</v>
      </c>
      <c r="C66">
        <v>2.6666666666666599</v>
      </c>
      <c r="D66">
        <v>2.6666666666666599</v>
      </c>
    </row>
    <row r="67" spans="1:9" ht="14.25" customHeight="1" x14ac:dyDescent="0.45">
      <c r="A67" s="10" t="s">
        <v>34</v>
      </c>
      <c r="B67" s="10">
        <v>8</v>
      </c>
      <c r="C67" s="10">
        <v>915.555555555556</v>
      </c>
      <c r="D67" s="10"/>
      <c r="E67" s="10"/>
      <c r="F67" s="10"/>
    </row>
    <row r="68" spans="1:9" ht="14.25" customHeight="1" x14ac:dyDescent="0.45"/>
    <row r="69" spans="1:9" ht="14.25" customHeight="1" x14ac:dyDescent="0.45">
      <c r="A69" s="3"/>
      <c r="B69" s="3" t="s">
        <v>35</v>
      </c>
      <c r="C69" s="3" t="s">
        <v>24</v>
      </c>
      <c r="D69" s="3" t="s">
        <v>36</v>
      </c>
      <c r="E69" s="3" t="s">
        <v>37</v>
      </c>
      <c r="F69" s="3" t="s">
        <v>38</v>
      </c>
      <c r="G69" s="3" t="s">
        <v>39</v>
      </c>
      <c r="H69" s="3" t="s">
        <v>49</v>
      </c>
      <c r="I69" s="3" t="s">
        <v>50</v>
      </c>
    </row>
    <row r="70" spans="1:9" ht="14.25" customHeight="1" x14ac:dyDescent="0.45">
      <c r="A70" t="s">
        <v>40</v>
      </c>
      <c r="B70" s="11">
        <v>103.666666666667</v>
      </c>
      <c r="C70">
        <v>1.49071198499986</v>
      </c>
      <c r="D70">
        <v>69.541714100243496</v>
      </c>
      <c r="E70">
        <v>9.1538712540946907E-3</v>
      </c>
      <c r="F70">
        <v>84.725374982589102</v>
      </c>
      <c r="G70">
        <v>122.607958350744</v>
      </c>
      <c r="H70">
        <v>84.725374982589102</v>
      </c>
      <c r="I70">
        <v>122.607958350744</v>
      </c>
    </row>
    <row r="71" spans="1:9" ht="14.25" customHeight="1" x14ac:dyDescent="0.45">
      <c r="A71" t="s">
        <v>41</v>
      </c>
      <c r="B71" s="11">
        <v>-10</v>
      </c>
      <c r="C71">
        <v>1.3333333333333299</v>
      </c>
      <c r="D71">
        <v>-7.5000000000000098</v>
      </c>
      <c r="E71">
        <v>8.4384926317682601E-2</v>
      </c>
      <c r="F71">
        <v>-26.941606314899602</v>
      </c>
      <c r="G71">
        <v>6.9416063148995901</v>
      </c>
      <c r="H71">
        <v>-26.941606314899602</v>
      </c>
      <c r="I71">
        <v>6.9416063148995901</v>
      </c>
    </row>
    <row r="72" spans="1:9" ht="14.25" customHeight="1" x14ac:dyDescent="0.45">
      <c r="A72" t="s">
        <v>42</v>
      </c>
      <c r="B72" s="11">
        <v>-15.3333333333333</v>
      </c>
      <c r="C72">
        <v>1.3333333333333299</v>
      </c>
      <c r="D72">
        <v>-11.5</v>
      </c>
      <c r="E72">
        <v>5.5219341423447803E-2</v>
      </c>
      <c r="F72">
        <v>-32.274939648232902</v>
      </c>
      <c r="G72">
        <v>1.60827298156626</v>
      </c>
      <c r="H72">
        <v>-32.274939648232902</v>
      </c>
      <c r="I72">
        <v>1.60827298156626</v>
      </c>
    </row>
    <row r="73" spans="1:9" ht="14.25" customHeight="1" x14ac:dyDescent="0.45">
      <c r="A73" t="s">
        <v>43</v>
      </c>
      <c r="B73" s="11">
        <v>-7</v>
      </c>
      <c r="C73">
        <v>1.3333333333333299</v>
      </c>
      <c r="D73">
        <v>-5.2500000000000098</v>
      </c>
      <c r="E73">
        <v>0.119825531861807</v>
      </c>
      <c r="F73">
        <v>-23.941606314899602</v>
      </c>
      <c r="G73">
        <v>9.9416063148995999</v>
      </c>
      <c r="H73">
        <v>-23.941606314899602</v>
      </c>
      <c r="I73">
        <v>9.9416063148995999</v>
      </c>
    </row>
    <row r="74" spans="1:9" ht="14.25" customHeight="1" x14ac:dyDescent="0.45">
      <c r="A74" t="s">
        <v>44</v>
      </c>
      <c r="B74" s="11">
        <v>-13.3333333333333</v>
      </c>
      <c r="C74">
        <v>1.3333333333333299</v>
      </c>
      <c r="D74">
        <v>-10</v>
      </c>
      <c r="E74">
        <v>6.3451034861107106E-2</v>
      </c>
      <c r="F74">
        <v>-30.274939648232898</v>
      </c>
      <c r="G74">
        <v>3.6082729815662602</v>
      </c>
      <c r="H74">
        <v>-30.274939648232898</v>
      </c>
      <c r="I74">
        <v>3.6082729815662602</v>
      </c>
    </row>
    <row r="75" spans="1:9" ht="14.25" customHeight="1" x14ac:dyDescent="0.45">
      <c r="A75" t="s">
        <v>45</v>
      </c>
      <c r="B75" s="11">
        <v>-3.3333333333333299</v>
      </c>
      <c r="C75">
        <v>1.1547005383792499</v>
      </c>
      <c r="D75">
        <v>-2.88675134594813</v>
      </c>
      <c r="E75">
        <v>0.21229561500965699</v>
      </c>
      <c r="F75">
        <v>-18.0051947829512</v>
      </c>
      <c r="G75">
        <v>11.3385281162846</v>
      </c>
      <c r="H75">
        <v>-18.0051947829512</v>
      </c>
      <c r="I75">
        <v>11.3385281162846</v>
      </c>
    </row>
    <row r="76" spans="1:9" ht="14.25" customHeight="1" x14ac:dyDescent="0.45">
      <c r="A76" t="s">
        <v>46</v>
      </c>
      <c r="B76" s="11">
        <v>-8.3333333333333304</v>
      </c>
      <c r="C76">
        <v>1.3333333333333299</v>
      </c>
      <c r="D76">
        <v>-6.2500000000000098</v>
      </c>
      <c r="E76">
        <v>0.101003076898026</v>
      </c>
      <c r="F76">
        <v>-25.274939648232898</v>
      </c>
      <c r="G76">
        <v>8.6082729815662606</v>
      </c>
      <c r="H76">
        <v>-25.274939648232898</v>
      </c>
      <c r="I76">
        <v>8.6082729815662606</v>
      </c>
    </row>
    <row r="77" spans="1:9" ht="14.25" customHeight="1" x14ac:dyDescent="0.45">
      <c r="A77" s="10" t="s">
        <v>47</v>
      </c>
      <c r="B77" s="12">
        <v>-13</v>
      </c>
      <c r="C77" s="10">
        <v>1.3333333333333299</v>
      </c>
      <c r="D77" s="10">
        <v>-9.7500000000000107</v>
      </c>
      <c r="E77" s="10">
        <v>6.5066817615877195E-2</v>
      </c>
      <c r="F77" s="10">
        <v>-29.941606314899602</v>
      </c>
      <c r="G77" s="10">
        <v>3.9416063148995901</v>
      </c>
      <c r="H77" s="10">
        <v>-29.941606314899602</v>
      </c>
      <c r="I77" s="10">
        <v>3.9416063148995901</v>
      </c>
    </row>
    <row r="79" spans="1:9" ht="14.25" customHeight="1" x14ac:dyDescent="0.45">
      <c r="A79" s="9" t="s">
        <v>68</v>
      </c>
    </row>
    <row r="80" spans="1:9" ht="14.25" customHeight="1" x14ac:dyDescent="0.45">
      <c r="A80" t="s">
        <v>19</v>
      </c>
    </row>
    <row r="81" spans="1:9" ht="14.25" customHeight="1" x14ac:dyDescent="0.45"/>
    <row r="82" spans="1:9" ht="14.25" customHeight="1" x14ac:dyDescent="0.45">
      <c r="A82" s="68" t="s">
        <v>20</v>
      </c>
      <c r="B82" s="68"/>
    </row>
    <row r="83" spans="1:9" ht="14.25" customHeight="1" x14ac:dyDescent="0.45">
      <c r="A83" t="s">
        <v>21</v>
      </c>
      <c r="B83">
        <v>0.99714165822248002</v>
      </c>
    </row>
    <row r="84" spans="1:9" ht="14.25" customHeight="1" x14ac:dyDescent="0.45">
      <c r="A84" t="s">
        <v>22</v>
      </c>
      <c r="B84">
        <v>0.99429148656267596</v>
      </c>
    </row>
    <row r="85" spans="1:9" ht="14.25" customHeight="1" x14ac:dyDescent="0.45">
      <c r="A85" t="s">
        <v>23</v>
      </c>
      <c r="B85">
        <v>0.95433189250141004</v>
      </c>
    </row>
    <row r="86" spans="1:9" ht="14.25" customHeight="1" x14ac:dyDescent="0.45">
      <c r="A86" t="s">
        <v>24</v>
      </c>
      <c r="B86">
        <v>3.6742346141747499</v>
      </c>
    </row>
    <row r="87" spans="1:9" ht="14.25" customHeight="1" x14ac:dyDescent="0.45">
      <c r="A87" s="10" t="s">
        <v>25</v>
      </c>
      <c r="B87" s="10">
        <v>9</v>
      </c>
    </row>
    <row r="89" spans="1:9" ht="14.25" customHeight="1" x14ac:dyDescent="0.45">
      <c r="A89" t="s">
        <v>26</v>
      </c>
    </row>
    <row r="90" spans="1:9" ht="14.25" customHeight="1" x14ac:dyDescent="0.45">
      <c r="A90" s="3"/>
      <c r="B90" s="3" t="s">
        <v>27</v>
      </c>
      <c r="C90" s="3" t="s">
        <v>28</v>
      </c>
      <c r="D90" s="3" t="s">
        <v>29</v>
      </c>
      <c r="E90" s="3" t="s">
        <v>30</v>
      </c>
      <c r="F90" s="3" t="s">
        <v>31</v>
      </c>
    </row>
    <row r="91" spans="1:9" ht="14.25" customHeight="1" x14ac:dyDescent="0.45">
      <c r="A91" t="s">
        <v>32</v>
      </c>
      <c r="B91">
        <v>7</v>
      </c>
      <c r="C91">
        <v>2351.3888888888901</v>
      </c>
      <c r="D91">
        <v>335.91269841269798</v>
      </c>
      <c r="E91">
        <v>24.882422104644501</v>
      </c>
      <c r="F91">
        <v>0.15318845441967199</v>
      </c>
    </row>
    <row r="92" spans="1:9" ht="14.25" customHeight="1" x14ac:dyDescent="0.45">
      <c r="A92" t="s">
        <v>33</v>
      </c>
      <c r="B92">
        <v>1</v>
      </c>
      <c r="C92">
        <v>13.499999999999901</v>
      </c>
      <c r="D92">
        <v>13.499999999999901</v>
      </c>
    </row>
    <row r="93" spans="1:9" ht="14.25" customHeight="1" x14ac:dyDescent="0.45">
      <c r="A93" s="10" t="s">
        <v>34</v>
      </c>
      <c r="B93" s="10">
        <v>8</v>
      </c>
      <c r="C93" s="10">
        <v>2364.8888888888901</v>
      </c>
      <c r="D93" s="10"/>
      <c r="E93" s="10"/>
      <c r="F93" s="10"/>
    </row>
    <row r="94" spans="1:9" ht="14.25" customHeight="1" x14ac:dyDescent="0.45"/>
    <row r="95" spans="1:9" ht="14.25" customHeight="1" x14ac:dyDescent="0.45">
      <c r="A95" s="3"/>
      <c r="B95" s="3" t="s">
        <v>35</v>
      </c>
      <c r="C95" s="3" t="s">
        <v>24</v>
      </c>
      <c r="D95" s="3" t="s">
        <v>36</v>
      </c>
      <c r="E95" s="3" t="s">
        <v>37</v>
      </c>
      <c r="F95" s="3" t="s">
        <v>38</v>
      </c>
      <c r="G95" s="3" t="s">
        <v>39</v>
      </c>
      <c r="H95" s="3" t="s">
        <v>49</v>
      </c>
      <c r="I95" s="3" t="s">
        <v>50</v>
      </c>
    </row>
    <row r="96" spans="1:9" ht="14.25" customHeight="1" x14ac:dyDescent="0.45">
      <c r="A96" t="s">
        <v>40</v>
      </c>
      <c r="B96" s="11">
        <v>74.1666666666667</v>
      </c>
      <c r="C96">
        <v>3.3541019662496701</v>
      </c>
      <c r="D96">
        <v>22.112227777497999</v>
      </c>
      <c r="E96">
        <v>2.8770791727968599E-2</v>
      </c>
      <c r="F96">
        <v>31.548760377492201</v>
      </c>
      <c r="G96">
        <v>116.784572955841</v>
      </c>
      <c r="H96">
        <v>31.548760377492201</v>
      </c>
      <c r="I96">
        <v>116.784572955841</v>
      </c>
    </row>
    <row r="97" spans="1:9" ht="14.25" customHeight="1" x14ac:dyDescent="0.45">
      <c r="A97" t="s">
        <v>41</v>
      </c>
      <c r="B97" s="11">
        <v>-18.6666666666667</v>
      </c>
      <c r="C97">
        <v>2.9999999999999898</v>
      </c>
      <c r="D97">
        <v>-6.2222222222222499</v>
      </c>
      <c r="E97">
        <v>0.101446405358652</v>
      </c>
      <c r="F97">
        <v>-56.785280875190701</v>
      </c>
      <c r="G97">
        <v>19.451947541857301</v>
      </c>
      <c r="H97">
        <v>-56.785280875190701</v>
      </c>
      <c r="I97">
        <v>19.451947541857301</v>
      </c>
    </row>
    <row r="98" spans="1:9" ht="14.25" customHeight="1" x14ac:dyDescent="0.45">
      <c r="A98" t="s">
        <v>42</v>
      </c>
      <c r="B98" s="11">
        <v>-29.6666666666667</v>
      </c>
      <c r="C98">
        <v>2.9999999999999898</v>
      </c>
      <c r="D98">
        <v>-9.8888888888889301</v>
      </c>
      <c r="E98">
        <v>6.4159176696258396E-2</v>
      </c>
      <c r="F98">
        <v>-67.785280875190594</v>
      </c>
      <c r="G98">
        <v>8.4519475418573204</v>
      </c>
      <c r="H98">
        <v>-67.785280875190594</v>
      </c>
      <c r="I98">
        <v>8.4519475418573204</v>
      </c>
    </row>
    <row r="99" spans="1:9" ht="14.25" customHeight="1" x14ac:dyDescent="0.45">
      <c r="A99" t="s">
        <v>43</v>
      </c>
      <c r="B99" s="11">
        <v>-6.0000000000000098</v>
      </c>
      <c r="C99">
        <v>2.9999999999999898</v>
      </c>
      <c r="D99">
        <v>-2.0000000000000102</v>
      </c>
      <c r="E99">
        <v>0.29516723530086503</v>
      </c>
      <c r="F99">
        <v>-44.118614208524001</v>
      </c>
      <c r="G99">
        <v>32.118614208524001</v>
      </c>
      <c r="H99">
        <v>-44.118614208524001</v>
      </c>
      <c r="I99">
        <v>32.118614208524001</v>
      </c>
    </row>
    <row r="100" spans="1:9" ht="14.25" customHeight="1" x14ac:dyDescent="0.45">
      <c r="A100" t="s">
        <v>44</v>
      </c>
      <c r="B100" s="11">
        <v>-24.3333333333333</v>
      </c>
      <c r="C100">
        <v>2.9999999999999898</v>
      </c>
      <c r="D100">
        <v>-8.1111111111111391</v>
      </c>
      <c r="E100">
        <v>7.8093291543884197E-2</v>
      </c>
      <c r="F100">
        <v>-62.451947541857301</v>
      </c>
      <c r="G100">
        <v>13.785280875190599</v>
      </c>
      <c r="H100">
        <v>-62.451947541857301</v>
      </c>
      <c r="I100">
        <v>13.785280875190599</v>
      </c>
    </row>
    <row r="101" spans="1:9" ht="14.25" customHeight="1" x14ac:dyDescent="0.45">
      <c r="A101" t="s">
        <v>45</v>
      </c>
      <c r="B101" s="11">
        <v>-2.8333333333333299</v>
      </c>
      <c r="C101">
        <v>2.5980762113533098</v>
      </c>
      <c r="D101">
        <v>-1.0905505084692999</v>
      </c>
      <c r="E101">
        <v>0.47244255330266199</v>
      </c>
      <c r="F101">
        <v>-35.845021594973602</v>
      </c>
      <c r="G101">
        <v>30.178354928306899</v>
      </c>
      <c r="H101">
        <v>-35.845021594973602</v>
      </c>
      <c r="I101">
        <v>30.178354928306899</v>
      </c>
    </row>
    <row r="102" spans="1:9" ht="14.25" customHeight="1" x14ac:dyDescent="0.45">
      <c r="A102" t="s">
        <v>46</v>
      </c>
      <c r="B102" s="11">
        <v>-2.6666666666666701</v>
      </c>
      <c r="C102">
        <v>2.9999999999999898</v>
      </c>
      <c r="D102">
        <v>-0.88888888888889395</v>
      </c>
      <c r="E102">
        <v>0.53740511848255201</v>
      </c>
      <c r="F102">
        <v>-40.785280875190701</v>
      </c>
      <c r="G102">
        <v>35.451947541857301</v>
      </c>
      <c r="H102">
        <v>-40.785280875190701</v>
      </c>
      <c r="I102">
        <v>35.451947541857301</v>
      </c>
    </row>
    <row r="103" spans="1:9" ht="14.25" customHeight="1" x14ac:dyDescent="0.45">
      <c r="A103" s="10" t="s">
        <v>47</v>
      </c>
      <c r="B103" s="12">
        <v>-3.6666666666666798</v>
      </c>
      <c r="C103" s="10">
        <v>2.9999999999999898</v>
      </c>
      <c r="D103" s="10">
        <v>-1.2222222222222301</v>
      </c>
      <c r="E103" s="10">
        <v>0.43654896513889102</v>
      </c>
      <c r="F103" s="10">
        <v>-41.785280875190701</v>
      </c>
      <c r="G103" s="10">
        <v>34.451947541857301</v>
      </c>
      <c r="H103" s="10">
        <v>-41.785280875190701</v>
      </c>
      <c r="I103" s="10">
        <v>34.451947541857301</v>
      </c>
    </row>
    <row r="105" spans="1:9" ht="14.25" customHeight="1" x14ac:dyDescent="0.45">
      <c r="A105" s="9" t="s">
        <v>69</v>
      </c>
    </row>
    <row r="106" spans="1:9" ht="14.25" customHeight="1" x14ac:dyDescent="0.45">
      <c r="A106" t="s">
        <v>19</v>
      </c>
    </row>
    <row r="107" spans="1:9" ht="14.25" customHeight="1" x14ac:dyDescent="0.45"/>
    <row r="108" spans="1:9" ht="14.25" customHeight="1" x14ac:dyDescent="0.45">
      <c r="A108" s="68" t="s">
        <v>20</v>
      </c>
      <c r="B108" s="68"/>
    </row>
    <row r="109" spans="1:9" ht="14.25" customHeight="1" x14ac:dyDescent="0.45">
      <c r="A109" t="s">
        <v>21</v>
      </c>
      <c r="B109">
        <v>0.99831365815929696</v>
      </c>
    </row>
    <row r="110" spans="1:9" ht="14.25" customHeight="1" x14ac:dyDescent="0.45">
      <c r="A110" t="s">
        <v>22</v>
      </c>
      <c r="B110">
        <v>0.99663016006739702</v>
      </c>
    </row>
    <row r="111" spans="1:9" ht="14.25" customHeight="1" x14ac:dyDescent="0.45">
      <c r="A111" t="s">
        <v>23</v>
      </c>
      <c r="B111">
        <v>0.97304128053917405</v>
      </c>
    </row>
    <row r="112" spans="1:9" ht="14.25" customHeight="1" x14ac:dyDescent="0.45">
      <c r="A112" t="s">
        <v>24</v>
      </c>
      <c r="B112">
        <v>4.8989794855663398</v>
      </c>
    </row>
    <row r="113" spans="1:9" ht="14.25" customHeight="1" x14ac:dyDescent="0.45">
      <c r="A113" s="10" t="s">
        <v>25</v>
      </c>
      <c r="B113" s="10">
        <v>9</v>
      </c>
    </row>
    <row r="115" spans="1:9" ht="14.25" customHeight="1" x14ac:dyDescent="0.45">
      <c r="A115" t="s">
        <v>26</v>
      </c>
    </row>
    <row r="116" spans="1:9" ht="14.25" customHeight="1" x14ac:dyDescent="0.45">
      <c r="A116" s="3"/>
      <c r="B116" s="3" t="s">
        <v>27</v>
      </c>
      <c r="C116" s="3" t="s">
        <v>28</v>
      </c>
      <c r="D116" s="3" t="s">
        <v>29</v>
      </c>
      <c r="E116" s="3" t="s">
        <v>30</v>
      </c>
      <c r="F116" s="3" t="s">
        <v>31</v>
      </c>
    </row>
    <row r="117" spans="1:9" ht="14.25" customHeight="1" x14ac:dyDescent="0.45">
      <c r="A117" t="s">
        <v>32</v>
      </c>
      <c r="B117">
        <v>7</v>
      </c>
      <c r="C117">
        <v>7098</v>
      </c>
      <c r="D117">
        <v>1014</v>
      </c>
      <c r="E117">
        <v>42.250000000000298</v>
      </c>
      <c r="F117">
        <v>0.117927553805645</v>
      </c>
    </row>
    <row r="118" spans="1:9" ht="14.25" customHeight="1" x14ac:dyDescent="0.45">
      <c r="A118" t="s">
        <v>33</v>
      </c>
      <c r="B118">
        <v>1</v>
      </c>
      <c r="C118">
        <v>23.999999999999801</v>
      </c>
      <c r="D118">
        <v>23.999999999999801</v>
      </c>
    </row>
    <row r="119" spans="1:9" ht="14.25" customHeight="1" x14ac:dyDescent="0.45">
      <c r="A119" s="10" t="s">
        <v>34</v>
      </c>
      <c r="B119" s="10">
        <v>8</v>
      </c>
      <c r="C119" s="10">
        <v>7122</v>
      </c>
      <c r="D119" s="10"/>
      <c r="E119" s="10"/>
      <c r="F119" s="10"/>
    </row>
    <row r="120" spans="1:9" ht="14.25" customHeight="1" x14ac:dyDescent="0.45"/>
    <row r="121" spans="1:9" ht="14.25" customHeight="1" x14ac:dyDescent="0.45">
      <c r="A121" s="3"/>
      <c r="B121" s="3" t="s">
        <v>35</v>
      </c>
      <c r="C121" s="3" t="s">
        <v>24</v>
      </c>
      <c r="D121" s="3" t="s">
        <v>36</v>
      </c>
      <c r="E121" s="3" t="s">
        <v>37</v>
      </c>
      <c r="F121" s="3" t="s">
        <v>38</v>
      </c>
      <c r="G121" s="3" t="s">
        <v>39</v>
      </c>
      <c r="H121" s="3" t="s">
        <v>49</v>
      </c>
      <c r="I121" s="3" t="s">
        <v>50</v>
      </c>
    </row>
    <row r="122" spans="1:9" ht="14.25" customHeight="1" x14ac:dyDescent="0.45">
      <c r="A122" t="s">
        <v>40</v>
      </c>
      <c r="B122" s="11">
        <v>107</v>
      </c>
      <c r="C122">
        <v>4.4721359549995601</v>
      </c>
      <c r="D122">
        <v>23.9259273592479</v>
      </c>
      <c r="E122">
        <v>2.6592468160581799E-2</v>
      </c>
      <c r="F122">
        <v>50.176124947767399</v>
      </c>
      <c r="G122">
        <v>163.82387505223301</v>
      </c>
      <c r="H122">
        <v>50.176124947767399</v>
      </c>
      <c r="I122">
        <v>163.82387505223301</v>
      </c>
    </row>
    <row r="123" spans="1:9" ht="14.25" customHeight="1" x14ac:dyDescent="0.45">
      <c r="A123" t="s">
        <v>41</v>
      </c>
      <c r="B123" s="11">
        <v>-28</v>
      </c>
      <c r="C123">
        <v>3.99999999999998</v>
      </c>
      <c r="D123">
        <v>-7.0000000000000302</v>
      </c>
      <c r="E123">
        <v>9.0334470601732705E-2</v>
      </c>
      <c r="F123">
        <v>-78.824818944698706</v>
      </c>
      <c r="G123">
        <v>22.824818944698599</v>
      </c>
      <c r="H123">
        <v>-78.824818944698706</v>
      </c>
      <c r="I123">
        <v>22.824818944698599</v>
      </c>
    </row>
    <row r="124" spans="1:9" ht="14.25" customHeight="1" x14ac:dyDescent="0.45">
      <c r="A124" t="s">
        <v>42</v>
      </c>
      <c r="B124" s="11">
        <v>-32</v>
      </c>
      <c r="C124">
        <v>3.99999999999998</v>
      </c>
      <c r="D124">
        <v>-8.0000000000000409</v>
      </c>
      <c r="E124">
        <v>7.9166848321130703E-2</v>
      </c>
      <c r="F124">
        <v>-82.824818944698606</v>
      </c>
      <c r="G124">
        <v>18.824818944698599</v>
      </c>
      <c r="H124">
        <v>-82.824818944698606</v>
      </c>
      <c r="I124">
        <v>18.824818944698599</v>
      </c>
    </row>
    <row r="125" spans="1:9" ht="14.25" customHeight="1" x14ac:dyDescent="0.45">
      <c r="A125" t="s">
        <v>43</v>
      </c>
      <c r="B125" s="11">
        <v>-47</v>
      </c>
      <c r="C125">
        <v>3.99999999999998</v>
      </c>
      <c r="D125">
        <v>-11.750000000000099</v>
      </c>
      <c r="E125">
        <v>5.4050160419561198E-2</v>
      </c>
      <c r="F125">
        <v>-97.824818944698706</v>
      </c>
      <c r="G125">
        <v>3.8248189446985998</v>
      </c>
      <c r="H125">
        <v>-97.824818944698706</v>
      </c>
      <c r="I125">
        <v>3.8248189446985998</v>
      </c>
    </row>
    <row r="126" spans="1:9" ht="14.25" customHeight="1" x14ac:dyDescent="0.45">
      <c r="A126" t="s">
        <v>44</v>
      </c>
      <c r="B126" s="11">
        <v>-51</v>
      </c>
      <c r="C126">
        <v>3.99999999999998</v>
      </c>
      <c r="D126">
        <v>-12.750000000000099</v>
      </c>
      <c r="E126">
        <v>4.9828955661606701E-2</v>
      </c>
      <c r="F126">
        <v>-101.824818944699</v>
      </c>
      <c r="G126">
        <v>-0.17518105530140801</v>
      </c>
      <c r="H126">
        <v>-101.824818944699</v>
      </c>
      <c r="I126">
        <v>-0.17518105530140801</v>
      </c>
    </row>
    <row r="127" spans="1:9" ht="14.25" customHeight="1" x14ac:dyDescent="0.45">
      <c r="A127" t="s">
        <v>45</v>
      </c>
      <c r="B127" s="11">
        <v>-10</v>
      </c>
      <c r="C127">
        <v>3.4641016151377402</v>
      </c>
      <c r="D127">
        <v>-2.8867513459481402</v>
      </c>
      <c r="E127">
        <v>0.21229561500965599</v>
      </c>
      <c r="F127">
        <v>-54.015584348853601</v>
      </c>
      <c r="G127">
        <v>34.015584348853601</v>
      </c>
      <c r="H127">
        <v>-54.015584348853601</v>
      </c>
      <c r="I127">
        <v>34.015584348853601</v>
      </c>
    </row>
    <row r="128" spans="1:9" ht="14.25" customHeight="1" x14ac:dyDescent="0.45">
      <c r="A128" t="s">
        <v>46</v>
      </c>
      <c r="B128" s="11">
        <v>-10</v>
      </c>
      <c r="C128">
        <v>3.99999999999998</v>
      </c>
      <c r="D128">
        <v>-2.5000000000000102</v>
      </c>
      <c r="E128">
        <v>0.24223788318168599</v>
      </c>
      <c r="F128">
        <v>-60.824818944698599</v>
      </c>
      <c r="G128">
        <v>40.824818944698599</v>
      </c>
      <c r="H128">
        <v>-60.824818944698599</v>
      </c>
      <c r="I128">
        <v>40.824818944698599</v>
      </c>
    </row>
    <row r="129" spans="1:9" ht="14.25" customHeight="1" x14ac:dyDescent="0.45">
      <c r="A129" s="10" t="s">
        <v>47</v>
      </c>
      <c r="B129" s="12">
        <v>-12</v>
      </c>
      <c r="C129" s="10">
        <v>3.99999999999998</v>
      </c>
      <c r="D129" s="10">
        <v>-3.0000000000000102</v>
      </c>
      <c r="E129" s="10">
        <v>0.204832764699133</v>
      </c>
      <c r="F129" s="10">
        <v>-62.824818944698599</v>
      </c>
      <c r="G129" s="10">
        <v>38.824818944698599</v>
      </c>
      <c r="H129" s="10">
        <v>-62.824818944698599</v>
      </c>
      <c r="I129" s="10">
        <v>38.824818944698599</v>
      </c>
    </row>
  </sheetData>
  <mergeCells count="5">
    <mergeCell ref="A4:B4"/>
    <mergeCell ref="A30:B30"/>
    <mergeCell ref="A56:B56"/>
    <mergeCell ref="A82:B82"/>
    <mergeCell ref="A108:B10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and Analysis</vt:lpstr>
      <vt:lpstr>Key Results Summary</vt:lpstr>
      <vt:lpstr>Respondent 1-5 regression</vt:lpstr>
      <vt:lpstr>Respondent 6-10 regression</vt:lpstr>
      <vt:lpstr>Respondent 11-15 regression</vt:lpstr>
      <vt:lpstr>Respondent 16-20 regressions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Ngoc Anh Hoang</cp:lastModifiedBy>
  <cp:revision>0</cp:revision>
  <dcterms:created xsi:type="dcterms:W3CDTF">2006-09-16T00:00:00Z</dcterms:created>
  <dcterms:modified xsi:type="dcterms:W3CDTF">2026-09-13T05:36:27Z</dcterms:modified>
  <dc:language>en-US</dc:language>
</cp:coreProperties>
</file>